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supuesto de marketin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<sst xmlns="http://schemas.openxmlformats.org/spreadsheetml/2006/main" count="78" uniqueCount="71">
  <si>
    <t xml:space="preserve">AndiBite — Presupuesto de marketing por medio (S/ sin IGV), prelanzamiento y año 1</t>
  </si>
  <si>
    <t xml:space="preserve">Mismas cifras del Excel v7 y del documento 10. Celdas azules = datos; el resto son fórmulas. Los stands (espacio y vendedores de fin de semana) van en el costo de venta, no aquí.</t>
  </si>
  <si>
    <t xml:space="preserve">Medio</t>
  </si>
  <si>
    <t xml:space="preserve">Dónde o con quién</t>
  </si>
  <si>
    <t xml:space="preserve">Meses activos</t>
  </si>
  <si>
    <t xml:space="preserve">Presupuesto mensual (promedio)</t>
  </si>
  <si>
    <t xml:space="preserve">Prelanz. oct-dic 2026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</si>
  <si>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</si>
  <si>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</si>
  <si>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</si>
  <si>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</si>
  <si>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</si>
  <si>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</si>
  <si>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</si>
  <si>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</si>
  <si>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Set</t>
  </si>
  <si>
    <t xml:space="preserve">Oct</t>
  </si>
  <si>
    <t xml:space="preserve">Nov</t>
  </si>
  <si>
    <t xml:space="preserve">Dic</t>
  </si>
  <si>
    <t xml:space="preserve">Presupuesto total</t>
  </si>
  <si>
    <t xml:space="preserve">Sale de la línea del Excel v7</t>
  </si>
  <si>
    <t xml:space="preserve">PUBLICIDAD</t>
  </si>
  <si>
    <t xml:space="preserve">Pauta en redes sociales</t>
  </si>
  <si>
    <t xml:space="preserve">Facebook e Instagram (Meta)</t>
  </si>
  <si>
    <t xml:space="preserve">Marketing S/700 al mes</t>
  </si>
  <si>
    <t xml:space="preserve">Pauta de expectativa</t>
  </si>
  <si>
    <t xml:space="preserve">Instagram y Facebook</t>
  </si>
  <si>
    <t xml:space="preserve">Lanzamiento (inversión)</t>
  </si>
  <si>
    <t xml:space="preserve">Video de lanzamiento con niños</t>
  </si>
  <si>
    <t xml:space="preserve">Redes y stand</t>
  </si>
  <si>
    <t xml:space="preserve">VENTAS PERSONALES</t>
  </si>
  <si>
    <t xml:space="preserve">Vendedor(a) en ferias pagadas</t>
  </si>
  <si>
    <t xml:space="preserve">Feria escolar y Día del Niño</t>
  </si>
  <si>
    <t xml:space="preserve">Ferias pagadas</t>
  </si>
  <si>
    <t xml:space="preserve">Vendedor(a) en eventos sin costo</t>
  </si>
  <si>
    <t xml:space="preserve">Kermeses y cumpleaños</t>
  </si>
  <si>
    <t xml:space="preserve">Eventos sin costo</t>
  </si>
  <si>
    <t xml:space="preserve">PROMOCIONES</t>
  </si>
  <si>
    <t xml:space="preserve">Muestras de degustación (600)</t>
  </si>
  <si>
    <t xml:space="preserve">Jockey, evento y pediatras</t>
  </si>
  <si>
    <t xml:space="preserve">Degustaciones extra</t>
  </si>
  <si>
    <t xml:space="preserve">Stands A y B</t>
  </si>
  <si>
    <t xml:space="preserve">Material de stand y POP</t>
  </si>
  <si>
    <t xml:space="preserve">Stands, ferias y kermeses</t>
  </si>
  <si>
    <t xml:space="preserve">Marketing S/700 al mes + lanzamiento</t>
  </si>
  <si>
    <t xml:space="preserve">Mamás embajadoras (premio al padre)</t>
  </si>
  <si>
    <t xml:space="preserve">Chats de colegio</t>
  </si>
  <si>
    <t xml:space="preserve">Embajadoras S/200 al mes</t>
  </si>
  <si>
    <t xml:space="preserve">RELACIONES PÚBLICAS</t>
  </si>
  <si>
    <t xml:space="preserve">Influencers (40 packs)</t>
  </si>
  <si>
    <t xml:space="preserve">Mamás de Instagram A y B</t>
  </si>
  <si>
    <t xml:space="preserve">Ferias pagadas (stand)</t>
  </si>
  <si>
    <t xml:space="preserve">Campaña escolar y Día del Niño</t>
  </si>
  <si>
    <t xml:space="preserve">Aporte a eventos sin costo</t>
  </si>
  <si>
    <t xml:space="preserve">Kermeses y ferias saludables</t>
  </si>
  <si>
    <t xml:space="preserve">PRESUPUESTO TOTAL</t>
  </si>
  <si>
    <t xml:space="preserve">De dónde sale cada sol (conciliación con el Excel v7)</t>
  </si>
  <si>
    <t xml:space="preserve">Marketing fijo: pauta, degustación y material (S/700 al mes)</t>
  </si>
  <si>
    <t xml:space="preserve">Costos fijos, hoja Supuestos</t>
  </si>
  <si>
    <t xml:space="preserve">Mamás embajadoras (S/200 al mes)</t>
  </si>
  <si>
    <t xml:space="preserve">Total: presupuesto de marketing de S/900 al mes</t>
  </si>
  <si>
    <t xml:space="preserve">12 meses de 2027</t>
  </si>
  <si>
    <t xml:space="preserve">Marketing de lanzamiento</t>
  </si>
  <si>
    <t xml:space="preserve">Inversión inicial, hoja Inversion</t>
  </si>
  <si>
    <t xml:space="preserve">Ferias pagadas: stand y vendedor(a) 3 días (febrero y abril)</t>
  </si>
  <si>
    <t xml:space="preserve">Hoja Mensual, ferias pagadas</t>
  </si>
  <si>
    <t xml:space="preserve">Eventos sin costo: vendedor(a) S/90 y aporte S/70 (40 eventos)</t>
  </si>
  <si>
    <t xml:space="preserve">Hoja Mensual, eventos sin costo</t>
  </si>
  <si>
    <t xml:space="preserve">Total del plan de marketing</t>
  </si>
  <si>
    <t xml:space="preserve">Debe ser igual al presupuesto total de arriba</t>
  </si>
  <si>
    <t xml:space="preserve">Presupuesto por tipo de medio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</si>
</sst>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0"/>
    <numFmt numFmtId="167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4A2018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4A2018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1"/>
      <color rgb="FF4A2018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4A2018"/>
        <bgColor rgb="FF333333"/>
      </patternFill>
    </fill>
    <fill>
      <patternFill patternType="solid">
        <fgColor rgb="FFE8CDB3"/>
        <bgColor rgb="FFD9D9D9"/>
      </patternFill>
    </fill>
    <fill>
      <patternFill patternType="solid">
        <fgColor rgb="FFBA4036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A4036"/>
      <rgbColor rgb="FFF9F9F9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8CDB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A2018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Presupuesto por tipo de medio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a201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'Presupuesto de marketing'!$B$35:$B$38</c:f>
              <c:strCache>
                <c:ptCount val="4"/>
                <c:pt idx="0">
                  <c:v>PUBLICIDAD</c:v>
                </c:pt>
                <c:pt idx="1">
                  <c:v>VENTAS PERSONALES</c:v>
                </c:pt>
                <c:pt idx="2">
                  <c:v>PROMOCIONES</c:v>
                </c:pt>
                <c:pt idx="3">
                  <c:v>RELACIONES PÚBLICAS</c:v>
                </c:pt>
              </c:strCache>
            </c:strRef>
          </c:cat>
          <c:val>
            <c:numRef>
              <c:f>'Presupuesto de marketing'!$C$35:$C$38</c:f>
              <c:numCache>
                <c:formatCode>#,##0;\(#,##0\);\-</c:formatCode>
                <c:ptCount val="4"/>
                <c:pt idx="0">
                  <c:v>5950</c:v>
                </c:pt>
                <c:pt idx="1">
                  <c:v>4140</c:v>
                </c:pt>
                <c:pt idx="2">
                  <c:v>7596</c:v>
                </c:pt>
                <c:pt idx="3">
                  <c:v>6858</c:v>
                </c:pt>
              </c:numCache>
            </c:numRef>
          </c:val>
        </c:ser>
        <c:gapWidth val="150"/>
        <c:overlap val="0"/>
        <c:axId val="97112878"/>
        <c:axId val="68423556"/>
      </c:barChart>
      <c:catAx>
        <c:axId val="971128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423556"/>
        <c:crosses val="autoZero"/>
        <c:auto val="1"/>
        <c:lblAlgn val="ctr"/>
        <c:lblOffset val="100"/>
        <c:noMultiLvlLbl val="0"/>
      </c:catAx>
      <c:valAx>
        <c:axId val="684235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11287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Presupuesto de marketing mensual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ba4036"/>
            </a:solidFill>
            <a:ln w="28080">
              <a:solidFill>
                <a:srgbClr val="ba4036"/>
              </a:solidFill>
              <a:round/>
            </a:ln>
          </c:spPr>
          <c:marker>
            <c:symbol val="circle"/>
            <c:size val="7"/>
            <c:spPr>
              <a:solidFill>
                <a:srgbClr val="ba403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'Presupuesto de marketing'!$F$5:$R$5</c:f>
              <c:strCache>
                <c:ptCount val="13"/>
                <c:pt idx="0">
                  <c:v>Prelanz. oct-dic 2026</c:v>
                </c:pt>
                <c:pt idx="1">
                  <c:v>Ene</c:v>
                </c:pt>
                <c:pt idx="2">
                  <c:v>Feb</c:v>
                </c:pt>
                <c:pt idx="3">
                  <c:v>Mar</c:v>
                </c:pt>
                <c:pt idx="4">
                  <c:v>Abr</c:v>
                </c:pt>
                <c:pt idx="5">
                  <c:v>May</c:v>
                </c:pt>
                <c:pt idx="6">
                  <c:v>Jun</c:v>
                </c:pt>
                <c:pt idx="7">
                  <c:v>Jul</c:v>
                </c:pt>
                <c:pt idx="8">
                  <c:v>Ago</c:v>
                </c:pt>
                <c:pt idx="9">
                  <c:v>Set</c:v>
                </c:pt>
                <c:pt idx="10">
                  <c:v>Oct</c:v>
                </c:pt>
                <c:pt idx="11">
                  <c:v>Nov</c:v>
                </c:pt>
                <c:pt idx="12">
                  <c:v>Dic</c:v>
                </c:pt>
              </c:strCache>
            </c:strRef>
          </c:cat>
          <c:val>
            <c:numRef>
              <c:f>'Presupuesto de marketing'!$F$22:$R$22</c:f>
              <c:numCache>
                <c:formatCode>#,##0;\(#,##0\);\-</c:formatCode>
                <c:ptCount val="13"/>
                <c:pt idx="0">
                  <c:v>1758</c:v>
                </c:pt>
                <c:pt idx="1">
                  <c:v>2506</c:v>
                </c:pt>
                <c:pt idx="2">
                  <c:v>3290</c:v>
                </c:pt>
                <c:pt idx="3">
                  <c:v>1540</c:v>
                </c:pt>
                <c:pt idx="4">
                  <c:v>3610</c:v>
                </c:pt>
                <c:pt idx="5">
                  <c:v>1700</c:v>
                </c:pt>
                <c:pt idx="6">
                  <c:v>1540</c:v>
                </c:pt>
                <c:pt idx="7">
                  <c:v>1380</c:v>
                </c:pt>
                <c:pt idx="8">
                  <c:v>1540</c:v>
                </c:pt>
                <c:pt idx="9">
                  <c:v>1540</c:v>
                </c:pt>
                <c:pt idx="10">
                  <c:v>1540</c:v>
                </c:pt>
                <c:pt idx="11">
                  <c:v>1380</c:v>
                </c:pt>
                <c:pt idx="12">
                  <c:v>1220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3947639"/>
        <c:axId val="59485697"/>
      </c:lineChart>
      <c:catAx>
        <c:axId val="83947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485697"/>
        <c:crosses val="autoZero"/>
        <c:auto val="1"/>
        <c:lblAlgn val="ctr"/>
        <c:lblOffset val="100"/>
        <c:noMultiLvlLbl val="0"/>
      </c:catAx>
      <c:valAx>
        <c:axId val="594856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94763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38</xdr:row>
      <xdr:rowOff>160560</xdr:rowOff>
    </xdr:from>
    <xdr:to>
      <xdr:col>4</xdr:col>
      <xdr:colOff>35280</xdr:colOff>
      <xdr:row>53</xdr:row>
      <xdr:rowOff>182880</xdr:rowOff>
    </xdr:to>
    <xdr:graphicFrame>
      <xdr:nvGraphicFramePr>
        <xdr:cNvPr id="0" name="Chart 1"/>
        <xdr:cNvGraphicFramePr/>
      </xdr:nvGraphicFramePr>
      <xdr:xfrm>
        <a:off x="141120" y="777240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160560</xdr:rowOff>
    </xdr:from>
    <xdr:to>
      <xdr:col>19</xdr:col>
      <xdr:colOff>815760</xdr:colOff>
      <xdr:row>53</xdr:row>
      <xdr:rowOff>182880</xdr:rowOff>
    </xdr:to>
    <xdr:graphicFrame>
      <xdr:nvGraphicFramePr>
        <xdr:cNvPr id="1" name="Chart 2"/>
        <xdr:cNvGraphicFramePr/>
      </xdr:nvGraphicFramePr>
      <xdr:xfrm>
        <a:off x="7542000" y="7772400"/>
        <a:ext cx="86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T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28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18" min="7" style="0" width="9"/>
    <col collapsed="false" customWidth="true" hidden="false" outlineLevel="0" max="19" min="19" style="0" width="12"/>
    <col collapsed="false" customWidth="true" hidden="false" outlineLevel="0" max="20" min="20" style="0" width="3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42" hidden="false" customHeight="true" outlineLevel="0" collapsed="false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12</v>
      </c>
      <c r="M5" s="3" t="s">
        <v>13</v>
      </c>
      <c r="N5" s="3" t="s">
        <v>14</v>
      </c>
      <c r="O5" s="3" t="s">
        <v>15</v>
      </c>
      <c r="P5" s="3" t="s">
        <v>16</v>
      </c>
      <c r="Q5" s="3" t="s">
        <v>17</v>
      </c>
      <c r="R5" s="3" t="s">
        <v>18</v>
      </c>
      <c r="S5" s="3" t="s">
        <v>19</v>
      </c>
      <c r="T5" s="3" t="s">
        <v>20</v>
      </c>
    </row>
    <row r="6" customFormat="false" ht="15" hidden="false" customHeight="false" outlineLevel="0" collapsed="false">
      <c r="B6" s="4" t="s">
        <v>21</v>
      </c>
      <c r="C6" s="5"/>
      <c r="D6" s="5"/>
      <c r="E6" s="5"/>
      <c r="F6" s="6" t="n">
        <f aca="false">SUM(F7:F9)</f>
        <v>900</v>
      </c>
      <c r="G6" s="6" t="n">
        <f aca="false">SUM(G7:G9)</f>
        <v>450</v>
      </c>
      <c r="H6" s="6" t="n">
        <f aca="false">SUM(H7:H9)</f>
        <v>450</v>
      </c>
      <c r="I6" s="6" t="n">
        <f aca="false">SUM(I7:I9)</f>
        <v>450</v>
      </c>
      <c r="J6" s="6" t="n">
        <f aca="false">SUM(J7:J9)</f>
        <v>400</v>
      </c>
      <c r="K6" s="6" t="n">
        <f aca="false">SUM(K7:K9)</f>
        <v>450</v>
      </c>
      <c r="L6" s="6" t="n">
        <f aca="false">SUM(L7:L9)</f>
        <v>450</v>
      </c>
      <c r="M6" s="6" t="n">
        <f aca="false">SUM(M7:M9)</f>
        <v>300</v>
      </c>
      <c r="N6" s="6" t="n">
        <f aca="false">SUM(N7:N9)</f>
        <v>350</v>
      </c>
      <c r="O6" s="6" t="n">
        <f aca="false">SUM(O7:O9)</f>
        <v>400</v>
      </c>
      <c r="P6" s="6" t="n">
        <f aca="false">SUM(P7:P9)</f>
        <v>400</v>
      </c>
      <c r="Q6" s="6" t="n">
        <f aca="false">SUM(Q7:Q9)</f>
        <v>450</v>
      </c>
      <c r="R6" s="6" t="n">
        <f aca="false">SUM(R7:R9)</f>
        <v>500</v>
      </c>
      <c r="S6" s="6" t="n">
        <f aca="false">SUM(S7:S9)</f>
        <v>5950</v>
      </c>
      <c r="T6" s="5"/>
    </row>
    <row r="7" customFormat="false" ht="15" hidden="false" customHeight="false" outlineLevel="0" collapsed="false">
      <c r="B7" s="7" t="s">
        <v>22</v>
      </c>
      <c r="C7" s="7" t="s">
        <v>23</v>
      </c>
      <c r="D7" s="8" t="n">
        <f aca="false">COUNTIF(G7:R7,"&gt;0")+IF(F7&gt;0,1,0)</f>
        <v>12</v>
      </c>
      <c r="E7" s="9" t="n">
        <f aca="false">IF(D7=0,0,S7/D7)</f>
        <v>420.833333333333</v>
      </c>
      <c r="F7" s="10" t="n">
        <v>0</v>
      </c>
      <c r="G7" s="10" t="n">
        <v>450</v>
      </c>
      <c r="H7" s="10" t="n">
        <v>450</v>
      </c>
      <c r="I7" s="10" t="n">
        <v>450</v>
      </c>
      <c r="J7" s="10" t="n">
        <v>400</v>
      </c>
      <c r="K7" s="10" t="n">
        <v>450</v>
      </c>
      <c r="L7" s="10" t="n">
        <v>450</v>
      </c>
      <c r="M7" s="10" t="n">
        <v>300</v>
      </c>
      <c r="N7" s="10" t="n">
        <v>350</v>
      </c>
      <c r="O7" s="10" t="n">
        <v>400</v>
      </c>
      <c r="P7" s="10" t="n">
        <v>400</v>
      </c>
      <c r="Q7" s="10" t="n">
        <v>450</v>
      </c>
      <c r="R7" s="10" t="n">
        <v>500</v>
      </c>
      <c r="S7" s="11" t="n">
        <f aca="false">SUM(F7:R7)</f>
        <v>5050</v>
      </c>
      <c r="T7" s="12" t="s">
        <v>24</v>
      </c>
    </row>
    <row r="8" customFormat="false" ht="15" hidden="false" customHeight="false" outlineLevel="0" collapsed="false">
      <c r="B8" s="7" t="s">
        <v>25</v>
      </c>
      <c r="C8" s="7" t="s">
        <v>26</v>
      </c>
      <c r="D8" s="8" t="n">
        <f aca="false">COUNTIF(G8:R8,"&gt;0")+IF(F8&gt;0,1,0)</f>
        <v>1</v>
      </c>
      <c r="E8" s="9" t="n">
        <f aca="false">IF(D8=0,0,S8/D8)</f>
        <v>600</v>
      </c>
      <c r="F8" s="10" t="n">
        <v>600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0" t="n">
        <v>0</v>
      </c>
      <c r="O8" s="10" t="n">
        <v>0</v>
      </c>
      <c r="P8" s="10" t="n">
        <v>0</v>
      </c>
      <c r="Q8" s="10" t="n">
        <v>0</v>
      </c>
      <c r="R8" s="10" t="n">
        <v>0</v>
      </c>
      <c r="S8" s="11" t="n">
        <f aca="false">SUM(F8:R8)</f>
        <v>600</v>
      </c>
      <c r="T8" s="12" t="s">
        <v>27</v>
      </c>
    </row>
    <row r="9" customFormat="false" ht="15" hidden="false" customHeight="false" outlineLevel="0" collapsed="false">
      <c r="B9" s="7" t="s">
        <v>28</v>
      </c>
      <c r="C9" s="7" t="s">
        <v>29</v>
      </c>
      <c r="D9" s="8" t="n">
        <f aca="false">COUNTIF(G9:R9,"&gt;0")+IF(F9&gt;0,1,0)</f>
        <v>1</v>
      </c>
      <c r="E9" s="9" t="n">
        <f aca="false">IF(D9=0,0,S9/D9)</f>
        <v>300</v>
      </c>
      <c r="F9" s="10" t="n">
        <v>300</v>
      </c>
      <c r="G9" s="10" t="n">
        <v>0</v>
      </c>
      <c r="H9" s="10" t="n">
        <v>0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0" t="n">
        <v>0</v>
      </c>
      <c r="O9" s="10" t="n">
        <v>0</v>
      </c>
      <c r="P9" s="10" t="n">
        <v>0</v>
      </c>
      <c r="Q9" s="10" t="n">
        <v>0</v>
      </c>
      <c r="R9" s="10" t="n">
        <v>0</v>
      </c>
      <c r="S9" s="11" t="n">
        <f aca="false">SUM(F9:R9)</f>
        <v>300</v>
      </c>
      <c r="T9" s="12" t="s">
        <v>27</v>
      </c>
    </row>
    <row r="10" customFormat="false" ht="15" hidden="false" customHeight="false" outlineLevel="0" collapsed="false">
      <c r="B10" s="4" t="s">
        <v>30</v>
      </c>
      <c r="C10" s="5"/>
      <c r="D10" s="5"/>
      <c r="E10" s="5"/>
      <c r="F10" s="6" t="n">
        <f aca="false">SUM(F11:F12)</f>
        <v>0</v>
      </c>
      <c r="G10" s="6" t="n">
        <f aca="false">SUM(G11:G12)</f>
        <v>90</v>
      </c>
      <c r="H10" s="6" t="n">
        <f aca="false">SUM(H11:H12)</f>
        <v>450</v>
      </c>
      <c r="I10" s="6" t="n">
        <f aca="false">SUM(I11:I12)</f>
        <v>360</v>
      </c>
      <c r="J10" s="6" t="n">
        <f aca="false">SUM(J11:J12)</f>
        <v>630</v>
      </c>
      <c r="K10" s="6" t="n">
        <f aca="false">SUM(K11:K12)</f>
        <v>450</v>
      </c>
      <c r="L10" s="6" t="n">
        <f aca="false">SUM(L11:L12)</f>
        <v>360</v>
      </c>
      <c r="M10" s="6" t="n">
        <f aca="false">SUM(M11:M12)</f>
        <v>270</v>
      </c>
      <c r="N10" s="6" t="n">
        <f aca="false">SUM(N11:N12)</f>
        <v>360</v>
      </c>
      <c r="O10" s="6" t="n">
        <f aca="false">SUM(O11:O12)</f>
        <v>360</v>
      </c>
      <c r="P10" s="6" t="n">
        <f aca="false">SUM(P11:P12)</f>
        <v>360</v>
      </c>
      <c r="Q10" s="6" t="n">
        <f aca="false">SUM(Q11:Q12)</f>
        <v>270</v>
      </c>
      <c r="R10" s="6" t="n">
        <f aca="false">SUM(R11:R12)</f>
        <v>180</v>
      </c>
      <c r="S10" s="6" t="n">
        <f aca="false">SUM(S11:S12)</f>
        <v>4140</v>
      </c>
      <c r="T10" s="5"/>
    </row>
    <row r="11" customFormat="false" ht="15" hidden="false" customHeight="false" outlineLevel="0" collapsed="false">
      <c r="B11" s="7" t="s">
        <v>31</v>
      </c>
      <c r="C11" s="7" t="s">
        <v>32</v>
      </c>
      <c r="D11" s="8" t="n">
        <f aca="false">COUNTIF(G11:R11,"&gt;0")+IF(F11&gt;0,1,0)</f>
        <v>2</v>
      </c>
      <c r="E11" s="9" t="n">
        <f aca="false">IF(D11=0,0,S11/D11)</f>
        <v>270</v>
      </c>
      <c r="F11" s="10" t="n">
        <v>0</v>
      </c>
      <c r="G11" s="10" t="n">
        <v>0</v>
      </c>
      <c r="H11" s="10" t="n">
        <v>270</v>
      </c>
      <c r="I11" s="10" t="n">
        <v>0</v>
      </c>
      <c r="J11" s="10" t="n">
        <v>270</v>
      </c>
      <c r="K11" s="10" t="n">
        <v>0</v>
      </c>
      <c r="L11" s="10" t="n">
        <v>0</v>
      </c>
      <c r="M11" s="10" t="n">
        <v>0</v>
      </c>
      <c r="N11" s="10" t="n">
        <v>0</v>
      </c>
      <c r="O11" s="10" t="n">
        <v>0</v>
      </c>
      <c r="P11" s="10" t="n">
        <v>0</v>
      </c>
      <c r="Q11" s="10" t="n">
        <v>0</v>
      </c>
      <c r="R11" s="10" t="n">
        <v>0</v>
      </c>
      <c r="S11" s="11" t="n">
        <f aca="false">SUM(F11:R11)</f>
        <v>540</v>
      </c>
      <c r="T11" s="12" t="s">
        <v>33</v>
      </c>
    </row>
    <row r="12" customFormat="false" ht="15" hidden="false" customHeight="false" outlineLevel="0" collapsed="false">
      <c r="B12" s="7" t="s">
        <v>34</v>
      </c>
      <c r="C12" s="7" t="s">
        <v>35</v>
      </c>
      <c r="D12" s="8" t="n">
        <f aca="false">COUNTIF(G12:R12,"&gt;0")+IF(F12&gt;0,1,0)</f>
        <v>12</v>
      </c>
      <c r="E12" s="9" t="n">
        <f aca="false">IF(D12=0,0,S12/D12)</f>
        <v>300</v>
      </c>
      <c r="F12" s="10" t="n">
        <v>0</v>
      </c>
      <c r="G12" s="10" t="n">
        <v>90</v>
      </c>
      <c r="H12" s="10" t="n">
        <v>180</v>
      </c>
      <c r="I12" s="10" t="n">
        <v>360</v>
      </c>
      <c r="J12" s="10" t="n">
        <v>360</v>
      </c>
      <c r="K12" s="10" t="n">
        <v>450</v>
      </c>
      <c r="L12" s="10" t="n">
        <v>360</v>
      </c>
      <c r="M12" s="10" t="n">
        <v>270</v>
      </c>
      <c r="N12" s="10" t="n">
        <v>360</v>
      </c>
      <c r="O12" s="10" t="n">
        <v>360</v>
      </c>
      <c r="P12" s="10" t="n">
        <v>360</v>
      </c>
      <c r="Q12" s="10" t="n">
        <v>270</v>
      </c>
      <c r="R12" s="10" t="n">
        <v>180</v>
      </c>
      <c r="S12" s="11" t="n">
        <f aca="false">SUM(F12:R12)</f>
        <v>3600</v>
      </c>
      <c r="T12" s="12" t="s">
        <v>36</v>
      </c>
    </row>
    <row r="13" customFormat="false" ht="15" hidden="false" customHeight="false" outlineLevel="0" collapsed="false">
      <c r="B13" s="4" t="s">
        <v>37</v>
      </c>
      <c r="C13" s="5"/>
      <c r="D13" s="5"/>
      <c r="E13" s="5"/>
      <c r="F13" s="6" t="n">
        <f aca="false">SUM(F14:F17)</f>
        <v>400</v>
      </c>
      <c r="G13" s="6" t="n">
        <f aca="false">SUM(G14:G17)</f>
        <v>1896</v>
      </c>
      <c r="H13" s="6" t="n">
        <f aca="false">SUM(H14:H17)</f>
        <v>450</v>
      </c>
      <c r="I13" s="6" t="n">
        <f aca="false">SUM(I14:I17)</f>
        <v>450</v>
      </c>
      <c r="J13" s="6" t="n">
        <f aca="false">SUM(J14:J17)</f>
        <v>500</v>
      </c>
      <c r="K13" s="6" t="n">
        <f aca="false">SUM(K14:K17)</f>
        <v>450</v>
      </c>
      <c r="L13" s="6" t="n">
        <f aca="false">SUM(L14:L17)</f>
        <v>450</v>
      </c>
      <c r="M13" s="6" t="n">
        <f aca="false">SUM(M14:M17)</f>
        <v>600</v>
      </c>
      <c r="N13" s="6" t="n">
        <f aca="false">SUM(N14:N17)</f>
        <v>550</v>
      </c>
      <c r="O13" s="6" t="n">
        <f aca="false">SUM(O14:O17)</f>
        <v>500</v>
      </c>
      <c r="P13" s="6" t="n">
        <f aca="false">SUM(P14:P17)</f>
        <v>500</v>
      </c>
      <c r="Q13" s="6" t="n">
        <f aca="false">SUM(Q14:Q17)</f>
        <v>450</v>
      </c>
      <c r="R13" s="6" t="n">
        <f aca="false">SUM(R14:R17)</f>
        <v>400</v>
      </c>
      <c r="S13" s="6" t="n">
        <f aca="false">SUM(S14:S17)</f>
        <v>7596</v>
      </c>
      <c r="T13" s="5"/>
    </row>
    <row r="14" customFormat="false" ht="15" hidden="false" customHeight="false" outlineLevel="0" collapsed="false">
      <c r="B14" s="7" t="s">
        <v>38</v>
      </c>
      <c r="C14" s="7" t="s">
        <v>39</v>
      </c>
      <c r="D14" s="8" t="n">
        <f aca="false">COUNTIF(G14:R14,"&gt;0")+IF(F14&gt;0,1,0)</f>
        <v>1</v>
      </c>
      <c r="E14" s="9" t="n">
        <f aca="false">IF(D14=0,0,S14/D14)</f>
        <v>1146</v>
      </c>
      <c r="F14" s="10" t="n">
        <v>0</v>
      </c>
      <c r="G14" s="10" t="n">
        <v>1146</v>
      </c>
      <c r="H14" s="10" t="n">
        <v>0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0" t="n">
        <v>0</v>
      </c>
      <c r="O14" s="10" t="n">
        <v>0</v>
      </c>
      <c r="P14" s="10" t="n">
        <v>0</v>
      </c>
      <c r="Q14" s="10" t="n">
        <v>0</v>
      </c>
      <c r="R14" s="10" t="n">
        <v>0</v>
      </c>
      <c r="S14" s="11" t="n">
        <f aca="false">SUM(F14:R14)</f>
        <v>1146</v>
      </c>
      <c r="T14" s="12" t="s">
        <v>27</v>
      </c>
    </row>
    <row r="15" customFormat="false" ht="15" hidden="false" customHeight="false" outlineLevel="0" collapsed="false">
      <c r="B15" s="7" t="s">
        <v>40</v>
      </c>
      <c r="C15" s="7" t="s">
        <v>41</v>
      </c>
      <c r="D15" s="8" t="n">
        <f aca="false">COUNTIF(G15:R15,"&gt;0")+IF(F15&gt;0,1,0)</f>
        <v>12</v>
      </c>
      <c r="E15" s="9" t="n">
        <f aca="false">IF(D15=0,0,S15/D15)</f>
        <v>145.833333333333</v>
      </c>
      <c r="F15" s="10" t="n">
        <v>0</v>
      </c>
      <c r="G15" s="10" t="n">
        <v>50</v>
      </c>
      <c r="H15" s="10" t="n">
        <v>100</v>
      </c>
      <c r="I15" s="10" t="n">
        <v>150</v>
      </c>
      <c r="J15" s="10" t="n">
        <v>150</v>
      </c>
      <c r="K15" s="10" t="n">
        <v>150</v>
      </c>
      <c r="L15" s="10" t="n">
        <v>150</v>
      </c>
      <c r="M15" s="10" t="n">
        <v>250</v>
      </c>
      <c r="N15" s="10" t="n">
        <v>150</v>
      </c>
      <c r="O15" s="10" t="n">
        <v>200</v>
      </c>
      <c r="P15" s="10" t="n">
        <v>150</v>
      </c>
      <c r="Q15" s="10" t="n">
        <v>150</v>
      </c>
      <c r="R15" s="10" t="n">
        <v>100</v>
      </c>
      <c r="S15" s="11" t="n">
        <f aca="false">SUM(F15:R15)</f>
        <v>1750</v>
      </c>
      <c r="T15" s="12" t="s">
        <v>24</v>
      </c>
    </row>
    <row r="16" customFormat="false" ht="15" hidden="false" customHeight="false" outlineLevel="0" collapsed="false">
      <c r="B16" s="7" t="s">
        <v>42</v>
      </c>
      <c r="C16" s="7" t="s">
        <v>43</v>
      </c>
      <c r="D16" s="8" t="n">
        <f aca="false">COUNTIF(G16:R16,"&gt;0")+IF(F16&gt;0,1,0)</f>
        <v>13</v>
      </c>
      <c r="E16" s="9" t="n">
        <f aca="false">IF(D16=0,0,S16/D16)</f>
        <v>176.923076923077</v>
      </c>
      <c r="F16" s="10" t="n">
        <v>400</v>
      </c>
      <c r="G16" s="10" t="n">
        <v>500</v>
      </c>
      <c r="H16" s="10" t="n">
        <v>150</v>
      </c>
      <c r="I16" s="10" t="n">
        <v>100</v>
      </c>
      <c r="J16" s="10" t="n">
        <v>150</v>
      </c>
      <c r="K16" s="10" t="n">
        <v>100</v>
      </c>
      <c r="L16" s="10" t="n">
        <v>100</v>
      </c>
      <c r="M16" s="10" t="n">
        <v>150</v>
      </c>
      <c r="N16" s="10" t="n">
        <v>200</v>
      </c>
      <c r="O16" s="10" t="n">
        <v>100</v>
      </c>
      <c r="P16" s="10" t="n">
        <v>150</v>
      </c>
      <c r="Q16" s="10" t="n">
        <v>100</v>
      </c>
      <c r="R16" s="10" t="n">
        <v>100</v>
      </c>
      <c r="S16" s="11" t="n">
        <f aca="false">SUM(F16:R16)</f>
        <v>2300</v>
      </c>
      <c r="T16" s="12" t="s">
        <v>44</v>
      </c>
    </row>
    <row r="17" customFormat="false" ht="15" hidden="false" customHeight="false" outlineLevel="0" collapsed="false">
      <c r="B17" s="7" t="s">
        <v>45</v>
      </c>
      <c r="C17" s="7" t="s">
        <v>46</v>
      </c>
      <c r="D17" s="8" t="n">
        <f aca="false">COUNTIF(G17:R17,"&gt;0")+IF(F17&gt;0,1,0)</f>
        <v>12</v>
      </c>
      <c r="E17" s="9" t="n">
        <f aca="false">IF(D17=0,0,S17/D17)</f>
        <v>200</v>
      </c>
      <c r="F17" s="10" t="n">
        <v>0</v>
      </c>
      <c r="G17" s="10" t="n">
        <v>200</v>
      </c>
      <c r="H17" s="10" t="n">
        <v>200</v>
      </c>
      <c r="I17" s="10" t="n">
        <v>200</v>
      </c>
      <c r="J17" s="10" t="n">
        <v>200</v>
      </c>
      <c r="K17" s="10" t="n">
        <v>200</v>
      </c>
      <c r="L17" s="10" t="n">
        <v>200</v>
      </c>
      <c r="M17" s="10" t="n">
        <v>200</v>
      </c>
      <c r="N17" s="10" t="n">
        <v>200</v>
      </c>
      <c r="O17" s="10" t="n">
        <v>200</v>
      </c>
      <c r="P17" s="10" t="n">
        <v>200</v>
      </c>
      <c r="Q17" s="10" t="n">
        <v>200</v>
      </c>
      <c r="R17" s="10" t="n">
        <v>200</v>
      </c>
      <c r="S17" s="11" t="n">
        <f aca="false">SUM(F17:R17)</f>
        <v>2400</v>
      </c>
      <c r="T17" s="12" t="s">
        <v>47</v>
      </c>
    </row>
    <row r="18" customFormat="false" ht="15" hidden="false" customHeight="false" outlineLevel="0" collapsed="false">
      <c r="B18" s="4" t="s">
        <v>48</v>
      </c>
      <c r="C18" s="5"/>
      <c r="D18" s="5"/>
      <c r="E18" s="5"/>
      <c r="F18" s="6" t="n">
        <f aca="false">SUM(F19:F21)</f>
        <v>458</v>
      </c>
      <c r="G18" s="6" t="n">
        <f aca="false">SUM(G19:G21)</f>
        <v>70</v>
      </c>
      <c r="H18" s="6" t="n">
        <f aca="false">SUM(H19:H21)</f>
        <v>1940</v>
      </c>
      <c r="I18" s="6" t="n">
        <f aca="false">SUM(I19:I21)</f>
        <v>280</v>
      </c>
      <c r="J18" s="6" t="n">
        <f aca="false">SUM(J19:J21)</f>
        <v>2080</v>
      </c>
      <c r="K18" s="6" t="n">
        <f aca="false">SUM(K19:K21)</f>
        <v>350</v>
      </c>
      <c r="L18" s="6" t="n">
        <f aca="false">SUM(L19:L21)</f>
        <v>280</v>
      </c>
      <c r="M18" s="6" t="n">
        <f aca="false">SUM(M19:M21)</f>
        <v>210</v>
      </c>
      <c r="N18" s="6" t="n">
        <f aca="false">SUM(N19:N21)</f>
        <v>280</v>
      </c>
      <c r="O18" s="6" t="n">
        <f aca="false">SUM(O19:O21)</f>
        <v>280</v>
      </c>
      <c r="P18" s="6" t="n">
        <f aca="false">SUM(P19:P21)</f>
        <v>280</v>
      </c>
      <c r="Q18" s="6" t="n">
        <f aca="false">SUM(Q19:Q21)</f>
        <v>210</v>
      </c>
      <c r="R18" s="6" t="n">
        <f aca="false">SUM(R19:R21)</f>
        <v>140</v>
      </c>
      <c r="S18" s="6" t="n">
        <f aca="false">SUM(S19:S21)</f>
        <v>6858</v>
      </c>
      <c r="T18" s="5"/>
    </row>
    <row r="19" customFormat="false" ht="15" hidden="false" customHeight="false" outlineLevel="0" collapsed="false">
      <c r="B19" s="7" t="s">
        <v>49</v>
      </c>
      <c r="C19" s="7" t="s">
        <v>50</v>
      </c>
      <c r="D19" s="8" t="n">
        <f aca="false">COUNTIF(G19:R19,"&gt;0")+IF(F19&gt;0,1,0)</f>
        <v>1</v>
      </c>
      <c r="E19" s="9" t="n">
        <f aca="false">IF(D19=0,0,S19/D19)</f>
        <v>458</v>
      </c>
      <c r="F19" s="10" t="n">
        <v>458</v>
      </c>
      <c r="G19" s="10" t="n">
        <v>0</v>
      </c>
      <c r="H19" s="10" t="n">
        <v>0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0" t="n">
        <v>0</v>
      </c>
      <c r="O19" s="10" t="n">
        <v>0</v>
      </c>
      <c r="P19" s="10" t="n">
        <v>0</v>
      </c>
      <c r="Q19" s="10" t="n">
        <v>0</v>
      </c>
      <c r="R19" s="10" t="n">
        <v>0</v>
      </c>
      <c r="S19" s="11" t="n">
        <f aca="false">SUM(F19:R19)</f>
        <v>458</v>
      </c>
      <c r="T19" s="12" t="s">
        <v>27</v>
      </c>
    </row>
    <row r="20" customFormat="false" ht="15" hidden="false" customHeight="false" outlineLevel="0" collapsed="false">
      <c r="B20" s="7" t="s">
        <v>51</v>
      </c>
      <c r="C20" s="7" t="s">
        <v>52</v>
      </c>
      <c r="D20" s="8" t="n">
        <f aca="false">COUNTIF(G20:R20,"&gt;0")+IF(F20&gt;0,1,0)</f>
        <v>2</v>
      </c>
      <c r="E20" s="9" t="n">
        <f aca="false">IF(D20=0,0,S20/D20)</f>
        <v>1800</v>
      </c>
      <c r="F20" s="10" t="n">
        <v>0</v>
      </c>
      <c r="G20" s="10" t="n">
        <v>0</v>
      </c>
      <c r="H20" s="10" t="n">
        <v>1800</v>
      </c>
      <c r="I20" s="10" t="n">
        <v>0</v>
      </c>
      <c r="J20" s="10" t="n">
        <v>1800</v>
      </c>
      <c r="K20" s="10" t="n">
        <v>0</v>
      </c>
      <c r="L20" s="10" t="n">
        <v>0</v>
      </c>
      <c r="M20" s="10" t="n">
        <v>0</v>
      </c>
      <c r="N20" s="10" t="n">
        <v>0</v>
      </c>
      <c r="O20" s="10" t="n">
        <v>0</v>
      </c>
      <c r="P20" s="10" t="n">
        <v>0</v>
      </c>
      <c r="Q20" s="10" t="n">
        <v>0</v>
      </c>
      <c r="R20" s="10" t="n">
        <v>0</v>
      </c>
      <c r="S20" s="11" t="n">
        <f aca="false">SUM(F20:R20)</f>
        <v>3600</v>
      </c>
      <c r="T20" s="12" t="s">
        <v>33</v>
      </c>
    </row>
    <row r="21" customFormat="false" ht="15" hidden="false" customHeight="false" outlineLevel="0" collapsed="false">
      <c r="B21" s="7" t="s">
        <v>53</v>
      </c>
      <c r="C21" s="7" t="s">
        <v>54</v>
      </c>
      <c r="D21" s="8" t="n">
        <f aca="false">COUNTIF(G21:R21,"&gt;0")+IF(F21&gt;0,1,0)</f>
        <v>12</v>
      </c>
      <c r="E21" s="9" t="n">
        <f aca="false">IF(D21=0,0,S21/D21)</f>
        <v>233.333333333333</v>
      </c>
      <c r="F21" s="10" t="n">
        <v>0</v>
      </c>
      <c r="G21" s="10" t="n">
        <v>70</v>
      </c>
      <c r="H21" s="10" t="n">
        <v>140</v>
      </c>
      <c r="I21" s="10" t="n">
        <v>280</v>
      </c>
      <c r="J21" s="10" t="n">
        <v>280</v>
      </c>
      <c r="K21" s="10" t="n">
        <v>350</v>
      </c>
      <c r="L21" s="10" t="n">
        <v>280</v>
      </c>
      <c r="M21" s="10" t="n">
        <v>210</v>
      </c>
      <c r="N21" s="10" t="n">
        <v>280</v>
      </c>
      <c r="O21" s="10" t="n">
        <v>280</v>
      </c>
      <c r="P21" s="10" t="n">
        <v>280</v>
      </c>
      <c r="Q21" s="10" t="n">
        <v>210</v>
      </c>
      <c r="R21" s="10" t="n">
        <v>140</v>
      </c>
      <c r="S21" s="11" t="n">
        <f aca="false">SUM(F21:R21)</f>
        <v>2800</v>
      </c>
      <c r="T21" s="12" t="s">
        <v>36</v>
      </c>
    </row>
    <row r="22" customFormat="false" ht="15" hidden="false" customHeight="false" outlineLevel="0" collapsed="false">
      <c r="B22" s="13" t="s">
        <v>55</v>
      </c>
      <c r="C22" s="14"/>
      <c r="D22" s="14"/>
      <c r="E22" s="14"/>
      <c r="F22" s="15" t="n">
        <f aca="false">F6+F10+F13+F18</f>
        <v>1758</v>
      </c>
      <c r="G22" s="15" t="n">
        <f aca="false">G6+G10+G13+G18</f>
        <v>2506</v>
      </c>
      <c r="H22" s="15" t="n">
        <f aca="false">H6+H10+H13+H18</f>
        <v>3290</v>
      </c>
      <c r="I22" s="15" t="n">
        <f aca="false">I6+I10+I13+I18</f>
        <v>1540</v>
      </c>
      <c r="J22" s="15" t="n">
        <f aca="false">J6+J10+J13+J18</f>
        <v>3610</v>
      </c>
      <c r="K22" s="15" t="n">
        <f aca="false">K6+K10+K13+K18</f>
        <v>1700</v>
      </c>
      <c r="L22" s="15" t="n">
        <f aca="false">L6+L10+L13+L18</f>
        <v>1540</v>
      </c>
      <c r="M22" s="15" t="n">
        <f aca="false">M6+M10+M13+M18</f>
        <v>1380</v>
      </c>
      <c r="N22" s="15" t="n">
        <f aca="false">N6+N10+N13+N18</f>
        <v>1540</v>
      </c>
      <c r="O22" s="15" t="n">
        <f aca="false">O6+O10+O13+O18</f>
        <v>1540</v>
      </c>
      <c r="P22" s="15" t="n">
        <f aca="false">P6+P10+P13+P18</f>
        <v>1540</v>
      </c>
      <c r="Q22" s="15" t="n">
        <f aca="false">Q6+Q10+Q13+Q18</f>
        <v>1380</v>
      </c>
      <c r="R22" s="15" t="n">
        <f aca="false">R6+R10+R13+R18</f>
        <v>1220</v>
      </c>
      <c r="S22" s="15" t="n">
        <f aca="false">S6+S10+S13+S18</f>
        <v>24544</v>
      </c>
      <c r="T22" s="14"/>
    </row>
    <row r="24" customFormat="false" ht="15" hidden="false" customHeight="false" outlineLevel="0" collapsed="false">
      <c r="B24" s="16" t="s">
        <v>56</v>
      </c>
    </row>
    <row r="25" customFormat="false" ht="15" hidden="false" customHeight="true" outlineLevel="0" collapsed="false">
      <c r="B25" s="7" t="s">
        <v>57</v>
      </c>
      <c r="C25" s="7"/>
      <c r="D25" s="7"/>
      <c r="E25" s="7"/>
      <c r="F25" s="12" t="s">
        <v>58</v>
      </c>
      <c r="G25" s="12"/>
      <c r="H25" s="12"/>
      <c r="I25" s="12"/>
      <c r="J25" s="12"/>
      <c r="K25" s="12"/>
      <c r="L25" s="17" t="n">
        <v>8400</v>
      </c>
    </row>
    <row r="26" customFormat="false" ht="15" hidden="false" customHeight="true" outlineLevel="0" collapsed="false">
      <c r="B26" s="7" t="s">
        <v>59</v>
      </c>
      <c r="C26" s="7"/>
      <c r="D26" s="7"/>
      <c r="E26" s="7"/>
      <c r="F26" s="12" t="s">
        <v>58</v>
      </c>
      <c r="G26" s="12"/>
      <c r="H26" s="12"/>
      <c r="I26" s="12"/>
      <c r="J26" s="12"/>
      <c r="K26" s="12"/>
      <c r="L26" s="17" t="n">
        <v>2400</v>
      </c>
    </row>
    <row r="27" customFormat="false" ht="15" hidden="false" customHeight="true" outlineLevel="0" collapsed="false">
      <c r="B27" s="18" t="s">
        <v>60</v>
      </c>
      <c r="C27" s="18"/>
      <c r="D27" s="18"/>
      <c r="E27" s="18"/>
      <c r="F27" s="12" t="s">
        <v>61</v>
      </c>
      <c r="G27" s="12"/>
      <c r="H27" s="12"/>
      <c r="I27" s="12"/>
      <c r="J27" s="12"/>
      <c r="K27" s="12"/>
      <c r="L27" s="19" t="n">
        <f aca="false">L25+L26</f>
        <v>10800</v>
      </c>
    </row>
    <row r="28" customFormat="false" ht="15" hidden="false" customHeight="true" outlineLevel="0" collapsed="false">
      <c r="B28" s="7" t="s">
        <v>62</v>
      </c>
      <c r="C28" s="7"/>
      <c r="D28" s="7"/>
      <c r="E28" s="7"/>
      <c r="F28" s="12" t="s">
        <v>63</v>
      </c>
      <c r="G28" s="12"/>
      <c r="H28" s="12"/>
      <c r="I28" s="12"/>
      <c r="J28" s="12"/>
      <c r="K28" s="12"/>
      <c r="L28" s="17" t="n">
        <v>3204</v>
      </c>
    </row>
    <row r="29" customFormat="false" ht="15" hidden="false" customHeight="true" outlineLevel="0" collapsed="false">
      <c r="B29" s="7" t="s">
        <v>64</v>
      </c>
      <c r="C29" s="7"/>
      <c r="D29" s="7"/>
      <c r="E29" s="7"/>
      <c r="F29" s="12" t="s">
        <v>65</v>
      </c>
      <c r="G29" s="12"/>
      <c r="H29" s="12"/>
      <c r="I29" s="12"/>
      <c r="J29" s="12"/>
      <c r="K29" s="12"/>
      <c r="L29" s="17" t="n">
        <v>4140</v>
      </c>
    </row>
    <row r="30" customFormat="false" ht="15" hidden="false" customHeight="true" outlineLevel="0" collapsed="false">
      <c r="B30" s="7" t="s">
        <v>66</v>
      </c>
      <c r="C30" s="7"/>
      <c r="D30" s="7"/>
      <c r="E30" s="7"/>
      <c r="F30" s="12" t="s">
        <v>67</v>
      </c>
      <c r="G30" s="12"/>
      <c r="H30" s="12"/>
      <c r="I30" s="12"/>
      <c r="J30" s="12"/>
      <c r="K30" s="12"/>
      <c r="L30" s="17" t="n">
        <v>6400</v>
      </c>
    </row>
    <row r="31" customFormat="false" ht="15" hidden="false" customHeight="true" outlineLevel="0" collapsed="false">
      <c r="B31" s="18" t="s">
        <v>68</v>
      </c>
      <c r="C31" s="18"/>
      <c r="D31" s="18"/>
      <c r="E31" s="18"/>
      <c r="F31" s="12" t="s">
        <v>69</v>
      </c>
      <c r="G31" s="12"/>
      <c r="H31" s="12"/>
      <c r="I31" s="12"/>
      <c r="J31" s="12"/>
      <c r="K31" s="12"/>
      <c r="L31" s="19" t="n">
        <f aca="false">L27+L28+L29+L30</f>
        <v>24544</v>
      </c>
      <c r="M31" s="20" t="str">
        <f aca="false">IF(L31=S22,"Cuadra","Revisar")</f>
        <v>Cuadra</v>
      </c>
    </row>
    <row r="34" customFormat="false" ht="15" hidden="false" customHeight="false" outlineLevel="0" collapsed="false">
      <c r="B34" s="16" t="s">
        <v>70</v>
      </c>
    </row>
    <row r="35" customFormat="false" ht="15" hidden="false" customHeight="false" outlineLevel="0" collapsed="false">
      <c r="B35" s="0" t="str">
        <f aca="false">B6</f>
        <v>PUBLICIDAD</v>
      </c>
      <c r="C35" s="21" t="n">
        <f aca="false">S6</f>
        <v>5950</v>
      </c>
      <c r="D35" s="22" t="n">
        <f aca="false">C35/S22</f>
        <v>0.242421773142112</v>
      </c>
    </row>
    <row r="36" customFormat="false" ht="15" hidden="false" customHeight="false" outlineLevel="0" collapsed="false">
      <c r="B36" s="0" t="str">
        <f aca="false">B10</f>
        <v>VENTAS PERSONALES</v>
      </c>
      <c r="C36" s="21" t="n">
        <f aca="false">S10</f>
        <v>4140</v>
      </c>
      <c r="D36" s="22" t="n">
        <f aca="false">C36/S22</f>
        <v>0.16867666232073</v>
      </c>
    </row>
    <row r="37" customFormat="false" ht="15" hidden="false" customHeight="false" outlineLevel="0" collapsed="false">
      <c r="B37" s="0" t="str">
        <f aca="false">B13</f>
        <v>PROMOCIONES</v>
      </c>
      <c r="C37" s="21" t="n">
        <f aca="false">S13</f>
        <v>7596</v>
      </c>
      <c r="D37" s="22" t="n">
        <f aca="false">C37/S22</f>
        <v>0.309485006518905</v>
      </c>
    </row>
    <row r="38" customFormat="false" ht="15" hidden="false" customHeight="false" outlineLevel="0" collapsed="false">
      <c r="B38" s="0" t="str">
        <f aca="false">B18</f>
        <v>RELACIONES PÚBLICAS</v>
      </c>
      <c r="C38" s="21" t="n">
        <f aca="false">S18</f>
        <v>6858</v>
      </c>
      <c r="D38" s="22" t="n">
        <f aca="false">C38/S22</f>
        <v>0.279416558018253</v>
      </c>
    </row>
  </sheetData>
  <mergeCells count="14">
    <mergeCell ref="B25:E25"/>
    <mergeCell ref="F25:K25"/>
    <mergeCell ref="B26:E26"/>
    <mergeCell ref="F26:K26"/>
    <mergeCell ref="B27:E27"/>
    <mergeCell ref="F27:K27"/>
    <mergeCell ref="B28:E28"/>
    <mergeCell ref="F28:K28"/>
    <mergeCell ref="B29:E29"/>
    <mergeCell ref="F29:K29"/>
    <mergeCell ref="B30:E30"/>
    <mergeCell ref="F30:K30"/>
    <mergeCell ref="B31:E31"/>
    <mergeCell ref="F31:K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2026-10-10T20:53:42Z</dcterms:created>
  <dc:creator>openpyxl</dc:creator>
  <dc:description/>
  <dc:language>en-US</dc:language>
  <cp:lastModifiedBy/>
  <dcterms:modified xsi:type="dcterms:W3CDTF">2026-10-10T20:53:44Z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