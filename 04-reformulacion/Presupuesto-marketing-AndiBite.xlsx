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esupuesto de marketin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4A2018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4A2018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4A2018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00000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4A2018"/>
        <bgColor rgb="FF333333"/>
      </patternFill>
    </fill>
    <fill>
      <patternFill patternType="solid">
        <fgColor rgb="FFE8CDB3"/>
        <bgColor rgb="FFD9D9D9"/>
      </patternFill>
    </fill>
    <fill>
      <patternFill patternType="solid">
        <fgColor rgb="FFBA4036"/>
        <bgColor rgb="FF99336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right" vertical="center" wrapText="1"/>
    </xf>
    <xf numFmtId="164" fontId="10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wrapText="1"/>
    </xf>
    <xf numFmtId="164" fontId="14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right" vertical="center" wrapText="1"/>
    </xf>
    <xf numFmtId="164" fontId="10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164" fontId="13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wrapText="1"/>
    </xf>
    <xf numFmtId="164" fontId="14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A403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D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2018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Presupuesto por tipo de medio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a2018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1"/>
          </dLbls>
          <cat>
            <strRef>
              <f>'Presupuesto de marketing'!$B$35:$B$38</f>
              <strCache>
                <ptCount val="4"/>
                <pt idx="0">
                  <v>PUBLICIDAD</v>
                </pt>
                <pt idx="1">
                  <v>VENTAS PERSONALES</v>
                </pt>
                <pt idx="2">
                  <v>PROMOCIONES</v>
                </pt>
                <pt idx="3">
                  <v>RELACIONES PÚBLICAS</v>
                </pt>
              </strCache>
            </strRef>
          </cat>
          <val>
            <numRef>
              <f>'Presupuesto de marketing'!$C$35:$C$38</f>
              <numCache>
                <formatCode>#,##0;\(#,##0\);\-</formatCode>
                <ptCount val="4"/>
                <pt idx="0">
                  <v>5950</v>
                </pt>
                <pt idx="1">
                  <v>4140</v>
                </pt>
                <pt idx="2">
                  <v>7596</v>
                </pt>
                <pt idx="3">
                  <v>6858</v>
                </pt>
              </numCache>
            </numRef>
          </val>
        </ser>
        <gapWidth val="150"/>
        <overlap val="0"/>
        <axId val="97112878"/>
        <axId val="68423556"/>
      </barChart>
      <catAx>
        <axId val="9711287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8423556"/>
        <crosses val="autoZero"/>
        <auto val="1"/>
        <lblAlgn val="ctr"/>
        <lblOffset val="100"/>
        <noMultiLvlLbl val="0"/>
      </catAx>
      <valAx>
        <axId val="6842355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;\(#,##0\);\-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711287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Presupuesto de marketing mensual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spPr>
            <a:solidFill xmlns:a="http://schemas.openxmlformats.org/drawingml/2006/main">
              <a:srgbClr val="ba4036"/>
            </a:solidFill>
            <a:ln xmlns:a="http://schemas.openxmlformats.org/drawingml/2006/main" w="28080">
              <a:solidFill>
                <a:srgbClr val="ba4036"/>
              </a:solidFill>
              <a:prstDash val="solid"/>
              <a:round/>
            </a:ln>
          </spPr>
          <marker>
            <symbol val="circle"/>
            <size val="7"/>
            <spPr>
              <a:solidFill xmlns:a="http://schemas.openxmlformats.org/drawingml/2006/main">
                <a:srgbClr val="ba4036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'Presupuesto de marketing'!$F$5:$R$5</f>
              <strCache>
                <ptCount val="13"/>
                <pt idx="0">
                  <v>Prelanz. oct-dic 2026</v>
                </pt>
                <pt idx="1">
                  <v>Ene</v>
                </pt>
                <pt idx="2">
                  <v>Feb</v>
                </pt>
                <pt idx="3">
                  <v>Mar</v>
                </pt>
                <pt idx="4">
                  <v>Abr</v>
                </pt>
                <pt idx="5">
                  <v>May</v>
                </pt>
                <pt idx="6">
                  <v>Jun</v>
                </pt>
                <pt idx="7">
                  <v>Jul</v>
                </pt>
                <pt idx="8">
                  <v>Ago</v>
                </pt>
                <pt idx="9">
                  <v>Set</v>
                </pt>
                <pt idx="10">
                  <v>Oct</v>
                </pt>
                <pt idx="11">
                  <v>Nov</v>
                </pt>
                <pt idx="12">
                  <v>Dic</v>
                </pt>
              </strCache>
            </strRef>
          </cat>
          <val>
            <numRef>
              <f>'Presupuesto de marketing'!$F$22:$R$22</f>
              <numCache>
                <formatCode>#,##0;\(#,##0\);\-</formatCode>
                <ptCount val="13"/>
                <pt idx="0">
                  <v>1758</v>
                </pt>
                <pt idx="1">
                  <v>2506</v>
                </pt>
                <pt idx="2">
                  <v>3290</v>
                </pt>
                <pt idx="3">
                  <v>1540</v>
                </pt>
                <pt idx="4">
                  <v>3610</v>
                </pt>
                <pt idx="5">
                  <v>1700</v>
                </pt>
                <pt idx="6">
                  <v>1540</v>
                </pt>
                <pt idx="7">
                  <v>1380</v>
                </pt>
                <pt idx="8">
                  <v>1540</v>
                </pt>
                <pt idx="9">
                  <v>1540</v>
                </pt>
                <pt idx="10">
                  <v>1540</v>
                </pt>
                <pt idx="11">
                  <v>1380</v>
                </pt>
                <pt idx="12">
                  <v>1220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83947639"/>
        <axId val="59485697"/>
      </lineChart>
      <catAx>
        <axId val="839476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9485697"/>
        <crosses val="autoZero"/>
        <auto val="1"/>
        <lblAlgn val="ctr"/>
        <lblOffset val="100"/>
        <noMultiLvlLbl val="0"/>
      </catAx>
      <valAx>
        <axId val="5948569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;\(#,##0\);\-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3947639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38</row>
      <rowOff>160560</rowOff>
    </from>
    <to>
      <col>4</col>
      <colOff>35280</colOff>
      <row>53</row>
      <rowOff>182880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38</row>
      <rowOff>160560</rowOff>
    </from>
    <to>
      <col>19</col>
      <colOff>815760</colOff>
      <row>53</row>
      <rowOff>182880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2:T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23" min="1" max="1"/>
    <col width="34" customWidth="1" style="23" min="2" max="2"/>
    <col width="28" customWidth="1" style="23" min="3" max="3"/>
    <col width="9" customWidth="1" style="23" min="4" max="4"/>
    <col width="12" customWidth="1" style="23" min="5" max="5"/>
    <col width="13" customWidth="1" style="23" min="6" max="6"/>
    <col width="9" customWidth="1" style="23" min="7" max="18"/>
    <col width="12" customWidth="1" style="23" min="19" max="19"/>
    <col width="30" customWidth="1" style="23" min="20" max="20"/>
  </cols>
  <sheetData>
    <row r="2" ht="17.35" customHeight="1" s="24">
      <c r="B2" s="25" t="inlineStr">
        <is>
          <t>AndiBite — Presupuesto de marketing por medio (S/ sin IGV), prelanzamiento y año 1</t>
        </is>
      </c>
    </row>
    <row r="3" ht="15" customHeight="1" s="24">
      <c r="B3" s="26" t="inlineStr">
        <is>
          <t>Mismas cifras del Excel v7 y del documento 10. Celdas azules = datos; el resto son fórmulas. Los stands (espacio y vendedores de fin de semana) van en el costo de venta, no aquí. Actualizado el 20-oct-2026: la pauta se divide en Meta (4,050) y YouTube (1,000); la expectativa incluye el concurso #LoQueNadieVe. Totales sin cambio.</t>
        </is>
      </c>
    </row>
    <row r="5" ht="42" customHeight="1" s="24">
      <c r="B5" s="27" t="inlineStr">
        <is>
          <t>Medio</t>
        </is>
      </c>
      <c r="C5" s="27" t="inlineStr">
        <is>
          <t>Dónde o con quién</t>
        </is>
      </c>
      <c r="D5" s="27" t="inlineStr">
        <is>
          <t>Meses activos</t>
        </is>
      </c>
      <c r="E5" s="27" t="inlineStr">
        <is>
          <t>Presupuesto mensual (promedio)</t>
        </is>
      </c>
      <c r="F5" s="27" t="inlineStr">
        <is>
          <t>Prelanz. oct-dic 2026</t>
        </is>
      </c>
      <c r="G5" s="27" t="inlineStr">
        <is>
          <t>Ene</t>
        </is>
      </c>
      <c r="H5" s="27" t="inlineStr">
        <is>
          <t>Feb</t>
        </is>
      </c>
      <c r="I5" s="27" t="inlineStr">
        <is>
          <t>Mar</t>
        </is>
      </c>
      <c r="J5" s="27" t="inlineStr">
        <is>
          <t>Abr</t>
        </is>
      </c>
      <c r="K5" s="27" t="inlineStr">
        <is>
          <t>May</t>
        </is>
      </c>
      <c r="L5" s="27" t="inlineStr">
        <is>
          <t>Jun</t>
        </is>
      </c>
      <c r="M5" s="27" t="inlineStr">
        <is>
          <t>Jul</t>
        </is>
      </c>
      <c r="N5" s="27" t="inlineStr">
        <is>
          <t>Ago</t>
        </is>
      </c>
      <c r="O5" s="27" t="inlineStr">
        <is>
          <t>Set</t>
        </is>
      </c>
      <c r="P5" s="27" t="inlineStr">
        <is>
          <t>Oct</t>
        </is>
      </c>
      <c r="Q5" s="27" t="inlineStr">
        <is>
          <t>Nov</t>
        </is>
      </c>
      <c r="R5" s="27" t="inlineStr">
        <is>
          <t>Dic</t>
        </is>
      </c>
      <c r="S5" s="27" t="inlineStr">
        <is>
          <t>Presupuesto total</t>
        </is>
      </c>
      <c r="T5" s="27" t="inlineStr">
        <is>
          <t>Sale de la línea del Excel v7</t>
        </is>
      </c>
    </row>
    <row r="6" ht="15" customHeight="1" s="24">
      <c r="B6" s="28" t="inlineStr">
        <is>
          <t>PUBLICIDAD</t>
        </is>
      </c>
      <c r="C6" s="29" t="n"/>
      <c r="D6" s="29" t="n"/>
      <c r="E6" s="29" t="n"/>
      <c r="F6" s="30">
        <f>SUM(F7:F10)</f>
        <v/>
      </c>
      <c r="G6" s="30">
        <f>SUM(G7:G10)</f>
        <v/>
      </c>
      <c r="H6" s="30">
        <f>SUM(H7:H10)</f>
        <v/>
      </c>
      <c r="I6" s="30">
        <f>SUM(I7:I10)</f>
        <v/>
      </c>
      <c r="J6" s="30">
        <f>SUM(J7:J10)</f>
        <v/>
      </c>
      <c r="K6" s="30">
        <f>SUM(K7:K10)</f>
        <v/>
      </c>
      <c r="L6" s="30">
        <f>SUM(L7:L10)</f>
        <v/>
      </c>
      <c r="M6" s="30">
        <f>SUM(M7:M10)</f>
        <v/>
      </c>
      <c r="N6" s="30">
        <f>SUM(N7:N10)</f>
        <v/>
      </c>
      <c r="O6" s="30">
        <f>SUM(O7:O10)</f>
        <v/>
      </c>
      <c r="P6" s="30">
        <f>SUM(P7:P10)</f>
        <v/>
      </c>
      <c r="Q6" s="30">
        <f>SUM(Q7:Q10)</f>
        <v/>
      </c>
      <c r="R6" s="30">
        <f>SUM(R7:R10)</f>
        <v/>
      </c>
      <c r="S6" s="30">
        <f>SUM(S7:S10)</f>
        <v/>
      </c>
      <c r="T6" s="29" t="n"/>
    </row>
    <row r="7" ht="15" customHeight="1" s="24">
      <c r="B7" s="31" t="inlineStr">
        <is>
          <t>Pauta en Instagram y Facebook</t>
        </is>
      </c>
      <c r="C7" s="31" t="inlineStr">
        <is>
          <t>Meta: anuncios de Claudia, Rodrigo y la familia ganadora</t>
        </is>
      </c>
      <c r="D7" s="32">
        <f>COUNTIF(G7:R7,"&gt;0")+IF(F7&gt;0,1,0)</f>
        <v/>
      </c>
      <c r="E7" s="33">
        <f>IF(D7=0,0,S7/D7)</f>
        <v/>
      </c>
      <c r="F7" s="34" t="n">
        <v>0</v>
      </c>
      <c r="G7" s="34" t="n">
        <v>361</v>
      </c>
      <c r="H7" s="34" t="n">
        <v>361</v>
      </c>
      <c r="I7" s="34" t="n">
        <v>361</v>
      </c>
      <c r="J7" s="34" t="n">
        <v>321</v>
      </c>
      <c r="K7" s="34" t="n">
        <v>361</v>
      </c>
      <c r="L7" s="34" t="n">
        <v>361</v>
      </c>
      <c r="M7" s="34" t="n">
        <v>241</v>
      </c>
      <c r="N7" s="34" t="n">
        <v>281</v>
      </c>
      <c r="O7" s="34" t="n">
        <v>321</v>
      </c>
      <c r="P7" s="34" t="n">
        <v>321</v>
      </c>
      <c r="Q7" s="34" t="n">
        <v>361</v>
      </c>
      <c r="R7" s="34" t="n">
        <v>399</v>
      </c>
      <c r="S7" s="35">
        <f>SUM(F7:R7)</f>
        <v/>
      </c>
      <c r="T7" s="36" t="inlineStr">
        <is>
          <t>Marketing S/700 al mes</t>
        </is>
      </c>
    </row>
    <row r="8" ht="15" customHeight="1" s="24">
      <c r="B8" s="31" t="inlineStr">
        <is>
          <t>Pauta en YouTube</t>
        </is>
      </c>
      <c r="C8" s="31" t="inlineStr">
        <is>
          <t>Video maestro y los anuncios como Shorts</t>
        </is>
      </c>
      <c r="D8" s="32">
        <f>COUNTIF(G8:R8,"&gt;0")+IF(F8&gt;0,1,0)</f>
        <v/>
      </c>
      <c r="E8" s="33">
        <f>IF(D8=0,0,S8/D8)</f>
        <v/>
      </c>
      <c r="F8" s="34" t="n">
        <v>0</v>
      </c>
      <c r="G8" s="34" t="n">
        <v>89</v>
      </c>
      <c r="H8" s="34" t="n">
        <v>89</v>
      </c>
      <c r="I8" s="34" t="n">
        <v>89</v>
      </c>
      <c r="J8" s="34" t="n">
        <v>79</v>
      </c>
      <c r="K8" s="34" t="n">
        <v>89</v>
      </c>
      <c r="L8" s="34" t="n">
        <v>89</v>
      </c>
      <c r="M8" s="34" t="n">
        <v>59</v>
      </c>
      <c r="N8" s="34" t="n">
        <v>69</v>
      </c>
      <c r="O8" s="34" t="n">
        <v>79</v>
      </c>
      <c r="P8" s="34" t="n">
        <v>79</v>
      </c>
      <c r="Q8" s="34" t="n">
        <v>89</v>
      </c>
      <c r="R8" s="34" t="n">
        <v>101</v>
      </c>
      <c r="S8" s="35">
        <f>SUM(F8:R8)</f>
        <v/>
      </c>
      <c r="T8" s="36" t="inlineStr">
        <is>
          <t>Marketing S/700 al mes (parte de la pauta)</t>
        </is>
      </c>
    </row>
    <row r="9" ht="15" customHeight="1" s="24">
      <c r="B9" s="31" t="inlineStr">
        <is>
          <t>Expectativa y concurso #LoQueNadieVe (S/360 pauta + S/240 premios)</t>
        </is>
      </c>
      <c r="C9" s="31" t="inlineStr">
        <is>
          <t>Instagram y Facebook; premios: 3 × un mes de lonchera</t>
        </is>
      </c>
      <c r="D9" s="32">
        <f>COUNTIF(G9:R9,"&gt;0")+IF(F9&gt;0,1,0)</f>
        <v/>
      </c>
      <c r="E9" s="33">
        <f>IF(D9=0,0,S9/D9)</f>
        <v/>
      </c>
      <c r="F9" s="34" t="n">
        <v>600</v>
      </c>
      <c r="G9" s="34" t="n">
        <v>0</v>
      </c>
      <c r="H9" s="34" t="n">
        <v>0</v>
      </c>
      <c r="I9" s="34" t="n">
        <v>0</v>
      </c>
      <c r="J9" s="34" t="n">
        <v>0</v>
      </c>
      <c r="K9" s="34" t="n">
        <v>0</v>
      </c>
      <c r="L9" s="34" t="n">
        <v>0</v>
      </c>
      <c r="M9" s="34" t="n">
        <v>0</v>
      </c>
      <c r="N9" s="34" t="n">
        <v>0</v>
      </c>
      <c r="O9" s="34" t="n">
        <v>0</v>
      </c>
      <c r="P9" s="34" t="n">
        <v>0</v>
      </c>
      <c r="Q9" s="34" t="n">
        <v>0</v>
      </c>
      <c r="R9" s="34" t="n">
        <v>0</v>
      </c>
      <c r="S9" s="35">
        <f>SUM(F9:R9)</f>
        <v/>
      </c>
      <c r="T9" s="36" t="inlineStr">
        <is>
          <t>Lanzamiento (inversión)</t>
        </is>
      </c>
    </row>
    <row r="10" ht="15" customHeight="1" s="24">
      <c r="B10" s="31" t="inlineStr">
        <is>
          <t>Video maestro «Lo que nadie ve» y convocatoria</t>
        </is>
      </c>
      <c r="C10" s="31" t="inlineStr">
        <is>
          <t>YouTube, redes y stand (sin niños en cámara)</t>
        </is>
      </c>
      <c r="D10" s="32">
        <f>COUNTIF(G10:R10,"&gt;0")+IF(F10&gt;0,1,0)</f>
        <v/>
      </c>
      <c r="E10" s="33">
        <f>IF(D10=0,0,S10/D10)</f>
        <v/>
      </c>
      <c r="F10" s="34" t="n">
        <v>300</v>
      </c>
      <c r="G10" s="34" t="n">
        <v>0</v>
      </c>
      <c r="H10" s="34" t="n">
        <v>0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  <c r="P10" s="34" t="n">
        <v>0</v>
      </c>
      <c r="Q10" s="34" t="n">
        <v>0</v>
      </c>
      <c r="R10" s="34" t="n">
        <v>0</v>
      </c>
      <c r="S10" s="35">
        <f>SUM(F10:R10)</f>
        <v/>
      </c>
      <c r="T10" s="36" t="inlineStr">
        <is>
          <t>Lanzamiento (inversión)</t>
        </is>
      </c>
    </row>
    <row r="11" ht="15" customHeight="1" s="24">
      <c r="B11" s="28" t="inlineStr">
        <is>
          <t>VENTAS PERSONALES</t>
        </is>
      </c>
      <c r="C11" s="29" t="n"/>
      <c r="D11" s="29" t="n"/>
      <c r="E11" s="29" t="n"/>
      <c r="F11" s="30">
        <f>SUM(F12:F13)</f>
        <v/>
      </c>
      <c r="G11" s="30">
        <f>SUM(G12:G13)</f>
        <v/>
      </c>
      <c r="H11" s="30">
        <f>SUM(H12:H13)</f>
        <v/>
      </c>
      <c r="I11" s="30">
        <f>SUM(I12:I13)</f>
        <v/>
      </c>
      <c r="J11" s="30">
        <f>SUM(J12:J13)</f>
        <v/>
      </c>
      <c r="K11" s="30">
        <f>SUM(K12:K13)</f>
        <v/>
      </c>
      <c r="L11" s="30">
        <f>SUM(L12:L13)</f>
        <v/>
      </c>
      <c r="M11" s="30">
        <f>SUM(M12:M13)</f>
        <v/>
      </c>
      <c r="N11" s="30">
        <f>SUM(N12:N13)</f>
        <v/>
      </c>
      <c r="O11" s="30">
        <f>SUM(O12:O13)</f>
        <v/>
      </c>
      <c r="P11" s="30">
        <f>SUM(P12:P13)</f>
        <v/>
      </c>
      <c r="Q11" s="30">
        <f>SUM(Q12:Q13)</f>
        <v/>
      </c>
      <c r="R11" s="30">
        <f>SUM(R12:R13)</f>
        <v/>
      </c>
      <c r="S11" s="30">
        <f>SUM(S12:S13)</f>
        <v/>
      </c>
      <c r="T11" s="29" t="n"/>
    </row>
    <row r="12" ht="15" customHeight="1" s="24">
      <c r="B12" s="31" t="inlineStr">
        <is>
          <t>Vendedor(a) en ferias pagadas</t>
        </is>
      </c>
      <c r="C12" s="31" t="inlineStr">
        <is>
          <t>Feria escolar y Día del Niño</t>
        </is>
      </c>
      <c r="D12" s="32">
        <f>COUNTIF(G12:R12,"&gt;0")+IF(F12&gt;0,1,0)</f>
        <v/>
      </c>
      <c r="E12" s="33">
        <f>IF(D12=0,0,S12/D12)</f>
        <v/>
      </c>
      <c r="F12" s="34" t="n">
        <v>0</v>
      </c>
      <c r="G12" s="34" t="n">
        <v>0</v>
      </c>
      <c r="H12" s="34" t="n">
        <v>270</v>
      </c>
      <c r="I12" s="34" t="n">
        <v>0</v>
      </c>
      <c r="J12" s="34" t="n">
        <v>270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4" t="n">
        <v>0</v>
      </c>
      <c r="Q12" s="34" t="n">
        <v>0</v>
      </c>
      <c r="R12" s="34" t="n">
        <v>0</v>
      </c>
      <c r="S12" s="35">
        <f>SUM(F12:R12)</f>
        <v/>
      </c>
      <c r="T12" s="36" t="inlineStr">
        <is>
          <t>Ferias pagadas</t>
        </is>
      </c>
    </row>
    <row r="13" ht="15" customHeight="1" s="24">
      <c r="B13" s="31" t="inlineStr">
        <is>
          <t>Vendedor(a) en eventos sin costo</t>
        </is>
      </c>
      <c r="C13" s="31" t="inlineStr">
        <is>
          <t>Kermeses y cumpleaños</t>
        </is>
      </c>
      <c r="D13" s="32">
        <f>COUNTIF(G13:R13,"&gt;0")+IF(F13&gt;0,1,0)</f>
        <v/>
      </c>
      <c r="E13" s="33">
        <f>IF(D13=0,0,S13/D13)</f>
        <v/>
      </c>
      <c r="F13" s="34" t="n">
        <v>0</v>
      </c>
      <c r="G13" s="34" t="n">
        <v>90</v>
      </c>
      <c r="H13" s="34" t="n">
        <v>180</v>
      </c>
      <c r="I13" s="34" t="n">
        <v>360</v>
      </c>
      <c r="J13" s="34" t="n">
        <v>360</v>
      </c>
      <c r="K13" s="34" t="n">
        <v>450</v>
      </c>
      <c r="L13" s="34" t="n">
        <v>360</v>
      </c>
      <c r="M13" s="34" t="n">
        <v>270</v>
      </c>
      <c r="N13" s="34" t="n">
        <v>360</v>
      </c>
      <c r="O13" s="34" t="n">
        <v>360</v>
      </c>
      <c r="P13" s="34" t="n">
        <v>360</v>
      </c>
      <c r="Q13" s="34" t="n">
        <v>270</v>
      </c>
      <c r="R13" s="34" t="n">
        <v>180</v>
      </c>
      <c r="S13" s="35">
        <f>SUM(F13:R13)</f>
        <v/>
      </c>
      <c r="T13" s="36" t="inlineStr">
        <is>
          <t>Eventos sin costo</t>
        </is>
      </c>
    </row>
    <row r="14" ht="15" customHeight="1" s="24">
      <c r="B14" s="28" t="inlineStr">
        <is>
          <t>PROMOCIONES</t>
        </is>
      </c>
      <c r="C14" s="29" t="n"/>
      <c r="D14" s="29" t="n"/>
      <c r="E14" s="29" t="n"/>
      <c r="F14" s="30">
        <f>SUM(F15:F18)</f>
        <v/>
      </c>
      <c r="G14" s="30">
        <f>SUM(G15:G18)</f>
        <v/>
      </c>
      <c r="H14" s="30">
        <f>SUM(H15:H18)</f>
        <v/>
      </c>
      <c r="I14" s="30">
        <f>SUM(I15:I18)</f>
        <v/>
      </c>
      <c r="J14" s="30">
        <f>SUM(J15:J18)</f>
        <v/>
      </c>
      <c r="K14" s="30">
        <f>SUM(K15:K18)</f>
        <v/>
      </c>
      <c r="L14" s="30">
        <f>SUM(L15:L18)</f>
        <v/>
      </c>
      <c r="M14" s="30">
        <f>SUM(M15:M18)</f>
        <v/>
      </c>
      <c r="N14" s="30">
        <f>SUM(N15:N18)</f>
        <v/>
      </c>
      <c r="O14" s="30">
        <f>SUM(O15:O18)</f>
        <v/>
      </c>
      <c r="P14" s="30">
        <f>SUM(P15:P18)</f>
        <v/>
      </c>
      <c r="Q14" s="30">
        <f>SUM(Q15:Q18)</f>
        <v/>
      </c>
      <c r="R14" s="30">
        <f>SUM(R15:R18)</f>
        <v/>
      </c>
      <c r="S14" s="30">
        <f>SUM(S15:S18)</f>
        <v/>
      </c>
      <c r="T14" s="29" t="n"/>
    </row>
    <row r="15" ht="15" customHeight="1" s="24">
      <c r="B15" s="31" t="inlineStr">
        <is>
          <t>Muestras de degustación (600)</t>
        </is>
      </c>
      <c r="C15" s="31" t="inlineStr">
        <is>
          <t>Jockey, evento y pediatras</t>
        </is>
      </c>
      <c r="D15" s="32">
        <f>COUNTIF(G15:R15,"&gt;0")+IF(F15&gt;0,1,0)</f>
        <v/>
      </c>
      <c r="E15" s="33">
        <f>IF(D15=0,0,S15/D15)</f>
        <v/>
      </c>
      <c r="F15" s="34" t="n">
        <v>0</v>
      </c>
      <c r="G15" s="34" t="n">
        <v>1146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4" t="n">
        <v>0</v>
      </c>
      <c r="P15" s="34" t="n">
        <v>0</v>
      </c>
      <c r="Q15" s="34" t="n">
        <v>0</v>
      </c>
      <c r="R15" s="34" t="n">
        <v>0</v>
      </c>
      <c r="S15" s="35">
        <f>SUM(F15:R15)</f>
        <v/>
      </c>
      <c r="T15" s="36" t="inlineStr">
        <is>
          <t>Lanzamiento (inversión)</t>
        </is>
      </c>
    </row>
    <row r="16" ht="15" customHeight="1" s="24">
      <c r="B16" s="31" t="inlineStr">
        <is>
          <t>Degustaciones extra</t>
        </is>
      </c>
      <c r="C16" s="31" t="inlineStr">
        <is>
          <t>Stands A y B</t>
        </is>
      </c>
      <c r="D16" s="32">
        <f>COUNTIF(G16:R16,"&gt;0")+IF(F16&gt;0,1,0)</f>
        <v/>
      </c>
      <c r="E16" s="33">
        <f>IF(D16=0,0,S16/D16)</f>
        <v/>
      </c>
      <c r="F16" s="34" t="n">
        <v>0</v>
      </c>
      <c r="G16" s="34" t="n">
        <v>50</v>
      </c>
      <c r="H16" s="34" t="n">
        <v>100</v>
      </c>
      <c r="I16" s="34" t="n">
        <v>150</v>
      </c>
      <c r="J16" s="34" t="n">
        <v>150</v>
      </c>
      <c r="K16" s="34" t="n">
        <v>150</v>
      </c>
      <c r="L16" s="34" t="n">
        <v>150</v>
      </c>
      <c r="M16" s="34" t="n">
        <v>250</v>
      </c>
      <c r="N16" s="34" t="n">
        <v>150</v>
      </c>
      <c r="O16" s="34" t="n">
        <v>200</v>
      </c>
      <c r="P16" s="34" t="n">
        <v>150</v>
      </c>
      <c r="Q16" s="34" t="n">
        <v>150</v>
      </c>
      <c r="R16" s="34" t="n">
        <v>100</v>
      </c>
      <c r="S16" s="35">
        <f>SUM(F16:R16)</f>
        <v/>
      </c>
      <c r="T16" s="36" t="inlineStr">
        <is>
          <t>Marketing S/700 al mes</t>
        </is>
      </c>
    </row>
    <row r="17" ht="15" customHeight="1" s="24">
      <c r="B17" s="31" t="inlineStr">
        <is>
          <t>Material de stand y POP</t>
        </is>
      </c>
      <c r="C17" s="31" t="inlineStr">
        <is>
          <t>Stands, ferias y kermeses</t>
        </is>
      </c>
      <c r="D17" s="32">
        <f>COUNTIF(G17:R17,"&gt;0")+IF(F17&gt;0,1,0)</f>
        <v/>
      </c>
      <c r="E17" s="33">
        <f>IF(D17=0,0,S17/D17)</f>
        <v/>
      </c>
      <c r="F17" s="34" t="n">
        <v>400</v>
      </c>
      <c r="G17" s="34" t="n">
        <v>500</v>
      </c>
      <c r="H17" s="34" t="n">
        <v>150</v>
      </c>
      <c r="I17" s="34" t="n">
        <v>100</v>
      </c>
      <c r="J17" s="34" t="n">
        <v>150</v>
      </c>
      <c r="K17" s="34" t="n">
        <v>100</v>
      </c>
      <c r="L17" s="34" t="n">
        <v>100</v>
      </c>
      <c r="M17" s="34" t="n">
        <v>150</v>
      </c>
      <c r="N17" s="34" t="n">
        <v>200</v>
      </c>
      <c r="O17" s="34" t="n">
        <v>100</v>
      </c>
      <c r="P17" s="34" t="n">
        <v>150</v>
      </c>
      <c r="Q17" s="34" t="n">
        <v>100</v>
      </c>
      <c r="R17" s="34" t="n">
        <v>100</v>
      </c>
      <c r="S17" s="35">
        <f>SUM(F17:R17)</f>
        <v/>
      </c>
      <c r="T17" s="36" t="inlineStr">
        <is>
          <t>Marketing S/700 al mes + lanzamiento</t>
        </is>
      </c>
    </row>
    <row r="18" ht="15" customHeight="1" s="24">
      <c r="B18" s="31" t="inlineStr">
        <is>
          <t>Papás y mamás embajadores (premio al adulto)</t>
        </is>
      </c>
      <c r="C18" s="31" t="inlineStr">
        <is>
          <t>Chats de colegio</t>
        </is>
      </c>
      <c r="D18" s="32">
        <f>COUNTIF(G18:R18,"&gt;0")+IF(F18&gt;0,1,0)</f>
        <v/>
      </c>
      <c r="E18" s="33">
        <f>IF(D18=0,0,S18/D18)</f>
        <v/>
      </c>
      <c r="F18" s="34" t="n">
        <v>0</v>
      </c>
      <c r="G18" s="34" t="n">
        <v>200</v>
      </c>
      <c r="H18" s="34" t="n">
        <v>200</v>
      </c>
      <c r="I18" s="34" t="n">
        <v>200</v>
      </c>
      <c r="J18" s="34" t="n">
        <v>200</v>
      </c>
      <c r="K18" s="34" t="n">
        <v>200</v>
      </c>
      <c r="L18" s="34" t="n">
        <v>200</v>
      </c>
      <c r="M18" s="34" t="n">
        <v>200</v>
      </c>
      <c r="N18" s="34" t="n">
        <v>200</v>
      </c>
      <c r="O18" s="34" t="n">
        <v>200</v>
      </c>
      <c r="P18" s="34" t="n">
        <v>200</v>
      </c>
      <c r="Q18" s="34" t="n">
        <v>200</v>
      </c>
      <c r="R18" s="34" t="n">
        <v>200</v>
      </c>
      <c r="S18" s="35">
        <f>SUM(F18:R18)</f>
        <v/>
      </c>
      <c r="T18" s="36" t="inlineStr">
        <is>
          <t>Embajadoras S/200 al mes</t>
        </is>
      </c>
    </row>
    <row r="19" ht="15" customHeight="1" s="24">
      <c r="B19" s="28" t="inlineStr">
        <is>
          <t>RELACIONES PÚBLICAS</t>
        </is>
      </c>
      <c r="C19" s="29" t="n"/>
      <c r="D19" s="29" t="n"/>
      <c r="E19" s="29" t="n"/>
      <c r="F19" s="30">
        <f>SUM(F20:F22)</f>
        <v/>
      </c>
      <c r="G19" s="30">
        <f>SUM(G20:G22)</f>
        <v/>
      </c>
      <c r="H19" s="30">
        <f>SUM(H20:H22)</f>
        <v/>
      </c>
      <c r="I19" s="30">
        <f>SUM(I20:I22)</f>
        <v/>
      </c>
      <c r="J19" s="30">
        <f>SUM(J20:J22)</f>
        <v/>
      </c>
      <c r="K19" s="30">
        <f>SUM(K20:K22)</f>
        <v/>
      </c>
      <c r="L19" s="30">
        <f>SUM(L20:L22)</f>
        <v/>
      </c>
      <c r="M19" s="30">
        <f>SUM(M20:M22)</f>
        <v/>
      </c>
      <c r="N19" s="30">
        <f>SUM(N20:N22)</f>
        <v/>
      </c>
      <c r="O19" s="30">
        <f>SUM(O20:O22)</f>
        <v/>
      </c>
      <c r="P19" s="30">
        <f>SUM(P20:P22)</f>
        <v/>
      </c>
      <c r="Q19" s="30">
        <f>SUM(Q20:Q22)</f>
        <v/>
      </c>
      <c r="R19" s="30">
        <f>SUM(R20:R22)</f>
        <v/>
      </c>
      <c r="S19" s="30">
        <f>SUM(S20:S22)</f>
        <v/>
      </c>
      <c r="T19" s="29" t="n"/>
    </row>
    <row r="20" ht="15" customHeight="1" s="24">
      <c r="B20" s="31" t="inlineStr">
        <is>
          <t>Influencers (40 packs)</t>
        </is>
      </c>
      <c r="C20" s="31" t="inlineStr">
        <is>
          <t>Mamás de Instagram A y B</t>
        </is>
      </c>
      <c r="D20" s="32">
        <f>COUNTIF(G20:R20,"&gt;0")+IF(F20&gt;0,1,0)</f>
        <v/>
      </c>
      <c r="E20" s="33">
        <f>IF(D20=0,0,S20/D20)</f>
        <v/>
      </c>
      <c r="F20" s="34" t="n">
        <v>458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v>0</v>
      </c>
      <c r="O20" s="34" t="n">
        <v>0</v>
      </c>
      <c r="P20" s="34" t="n">
        <v>0</v>
      </c>
      <c r="Q20" s="34" t="n">
        <v>0</v>
      </c>
      <c r="R20" s="34" t="n">
        <v>0</v>
      </c>
      <c r="S20" s="35">
        <f>SUM(F20:R20)</f>
        <v/>
      </c>
      <c r="T20" s="36" t="inlineStr">
        <is>
          <t>Lanzamiento (inversión)</t>
        </is>
      </c>
    </row>
    <row r="21" ht="15" customHeight="1" s="24">
      <c r="B21" s="31" t="inlineStr">
        <is>
          <t>Ferias pagadas (stand)</t>
        </is>
      </c>
      <c r="C21" s="31" t="inlineStr">
        <is>
          <t>Campaña escolar y Día del Niño</t>
        </is>
      </c>
      <c r="D21" s="32">
        <f>COUNTIF(G21:R21,"&gt;0")+IF(F21&gt;0,1,0)</f>
        <v/>
      </c>
      <c r="E21" s="33">
        <f>IF(D21=0,0,S21/D21)</f>
        <v/>
      </c>
      <c r="F21" s="34" t="n">
        <v>0</v>
      </c>
      <c r="G21" s="34" t="n">
        <v>0</v>
      </c>
      <c r="H21" s="34" t="n">
        <v>1800</v>
      </c>
      <c r="I21" s="34" t="n">
        <v>0</v>
      </c>
      <c r="J21" s="34" t="n">
        <v>1800</v>
      </c>
      <c r="K21" s="34" t="n">
        <v>0</v>
      </c>
      <c r="L21" s="34" t="n">
        <v>0</v>
      </c>
      <c r="M21" s="34" t="n">
        <v>0</v>
      </c>
      <c r="N21" s="34" t="n">
        <v>0</v>
      </c>
      <c r="O21" s="34" t="n">
        <v>0</v>
      </c>
      <c r="P21" s="34" t="n">
        <v>0</v>
      </c>
      <c r="Q21" s="34" t="n">
        <v>0</v>
      </c>
      <c r="R21" s="34" t="n">
        <v>0</v>
      </c>
      <c r="S21" s="35">
        <f>SUM(F21:R21)</f>
        <v/>
      </c>
      <c r="T21" s="36" t="inlineStr">
        <is>
          <t>Ferias pagadas</t>
        </is>
      </c>
    </row>
    <row r="22" ht="15" customHeight="1" s="24">
      <c r="B22" s="31" t="inlineStr">
        <is>
          <t>Aporte a eventos sin costo</t>
        </is>
      </c>
      <c r="C22" s="31" t="inlineStr">
        <is>
          <t>Kermeses y ferias saludables</t>
        </is>
      </c>
      <c r="D22" s="32">
        <f>COUNTIF(G22:R22,"&gt;0")+IF(F22&gt;0,1,0)</f>
        <v/>
      </c>
      <c r="E22" s="33">
        <f>IF(D22=0,0,S22/D22)</f>
        <v/>
      </c>
      <c r="F22" s="34" t="n">
        <v>0</v>
      </c>
      <c r="G22" s="34" t="n">
        <v>70</v>
      </c>
      <c r="H22" s="34" t="n">
        <v>140</v>
      </c>
      <c r="I22" s="34" t="n">
        <v>280</v>
      </c>
      <c r="J22" s="34" t="n">
        <v>280</v>
      </c>
      <c r="K22" s="34" t="n">
        <v>350</v>
      </c>
      <c r="L22" s="34" t="n">
        <v>280</v>
      </c>
      <c r="M22" s="34" t="n">
        <v>210</v>
      </c>
      <c r="N22" s="34" t="n">
        <v>280</v>
      </c>
      <c r="O22" s="34" t="n">
        <v>280</v>
      </c>
      <c r="P22" s="34" t="n">
        <v>280</v>
      </c>
      <c r="Q22" s="34" t="n">
        <v>210</v>
      </c>
      <c r="R22" s="34" t="n">
        <v>140</v>
      </c>
      <c r="S22" s="35">
        <f>SUM(F22:R22)</f>
        <v/>
      </c>
      <c r="T22" s="36" t="inlineStr">
        <is>
          <t>Eventos sin costo</t>
        </is>
      </c>
    </row>
    <row r="23">
      <c r="B23" s="37" t="inlineStr">
        <is>
          <t>PRESUPUESTO TOTAL</t>
        </is>
      </c>
      <c r="C23" s="38" t="n"/>
      <c r="D23" s="38" t="n"/>
      <c r="E23" s="38" t="n"/>
      <c r="F23" s="39">
        <f>F6+F11+F14+F19</f>
        <v/>
      </c>
      <c r="G23" s="39">
        <f>G6+G11+G14+G19</f>
        <v/>
      </c>
      <c r="H23" s="39">
        <f>H6+H11+H14+H19</f>
        <v/>
      </c>
      <c r="I23" s="39">
        <f>I6+I11+I14+I19</f>
        <v/>
      </c>
      <c r="J23" s="39">
        <f>J6+J11+J14+J19</f>
        <v/>
      </c>
      <c r="K23" s="39">
        <f>K6+K11+K14+K19</f>
        <v/>
      </c>
      <c r="L23" s="39">
        <f>L6+L11+L14+L19</f>
        <v/>
      </c>
      <c r="M23" s="39">
        <f>M6+M11+M14+M19</f>
        <v/>
      </c>
      <c r="N23" s="39">
        <f>N6+N11+N14+N19</f>
        <v/>
      </c>
      <c r="O23" s="39">
        <f>O6+O11+O14+O19</f>
        <v/>
      </c>
      <c r="P23" s="39">
        <f>P6+P11+P14+P19</f>
        <v/>
      </c>
      <c r="Q23" s="39">
        <f>Q6+Q11+Q14+Q19</f>
        <v/>
      </c>
      <c r="R23" s="39">
        <f>R6+R11+R14+R19</f>
        <v/>
      </c>
      <c r="S23" s="39">
        <f>S6+S11+S14+S19</f>
        <v/>
      </c>
      <c r="T23" s="38" t="n"/>
    </row>
    <row r="24" ht="15" customHeight="1" s="24"/>
    <row r="25" ht="15" customHeight="1" s="24">
      <c r="B25" s="40" t="inlineStr">
        <is>
          <t>De dónde sale cada sol (conciliación con el Excel v7)</t>
        </is>
      </c>
    </row>
    <row r="26" ht="15" customHeight="1" s="24">
      <c r="B26" s="31" t="inlineStr">
        <is>
          <t>Marketing fijo: pauta, degustación y material (S/700 al mes)</t>
        </is>
      </c>
      <c r="C26" s="41" t="n"/>
      <c r="D26" s="41" t="n"/>
      <c r="E26" s="42" t="n"/>
      <c r="F26" s="36" t="inlineStr">
        <is>
          <t>Costos fijos, hoja Supuestos</t>
        </is>
      </c>
      <c r="G26" s="41" t="n"/>
      <c r="H26" s="41" t="n"/>
      <c r="I26" s="41" t="n"/>
      <c r="J26" s="41" t="n"/>
      <c r="K26" s="42" t="n"/>
      <c r="L26" s="43" t="n">
        <v>8400</v>
      </c>
    </row>
    <row r="27" ht="15" customHeight="1" s="24">
      <c r="B27" s="31" t="inlineStr">
        <is>
          <t>Papás y mamás embajadores (S/200 al mes)</t>
        </is>
      </c>
      <c r="C27" s="41" t="n"/>
      <c r="D27" s="41" t="n"/>
      <c r="E27" s="42" t="n"/>
      <c r="F27" s="36" t="inlineStr">
        <is>
          <t>Costos fijos, hoja Supuestos</t>
        </is>
      </c>
      <c r="G27" s="41" t="n"/>
      <c r="H27" s="41" t="n"/>
      <c r="I27" s="41" t="n"/>
      <c r="J27" s="41" t="n"/>
      <c r="K27" s="42" t="n"/>
      <c r="L27" s="43" t="n">
        <v>2400</v>
      </c>
    </row>
    <row r="28" ht="15" customHeight="1" s="24">
      <c r="B28" s="44" t="inlineStr">
        <is>
          <t>Total: presupuesto de marketing de S/900 al mes</t>
        </is>
      </c>
      <c r="C28" s="41" t="n"/>
      <c r="D28" s="41" t="n"/>
      <c r="E28" s="42" t="n"/>
      <c r="F28" s="36" t="inlineStr">
        <is>
          <t>12 meses de 2027</t>
        </is>
      </c>
      <c r="G28" s="41" t="n"/>
      <c r="H28" s="41" t="n"/>
      <c r="I28" s="41" t="n"/>
      <c r="J28" s="41" t="n"/>
      <c r="K28" s="42" t="n"/>
      <c r="L28" s="45">
        <f>L26+L27</f>
        <v/>
      </c>
    </row>
    <row r="29" ht="15" customHeight="1" s="24">
      <c r="B29" s="31" t="inlineStr">
        <is>
          <t>Marketing de lanzamiento</t>
        </is>
      </c>
      <c r="C29" s="41" t="n"/>
      <c r="D29" s="41" t="n"/>
      <c r="E29" s="42" t="n"/>
      <c r="F29" s="36" t="inlineStr">
        <is>
          <t>Inversión inicial, hoja Inversion</t>
        </is>
      </c>
      <c r="G29" s="41" t="n"/>
      <c r="H29" s="41" t="n"/>
      <c r="I29" s="41" t="n"/>
      <c r="J29" s="41" t="n"/>
      <c r="K29" s="42" t="n"/>
      <c r="L29" s="43" t="n">
        <v>3204</v>
      </c>
    </row>
    <row r="30" ht="15" customHeight="1" s="24">
      <c r="B30" s="31" t="inlineStr">
        <is>
          <t>Ferias pagadas: stand y vendedor(a) 3 días (febrero y abril)</t>
        </is>
      </c>
      <c r="C30" s="41" t="n"/>
      <c r="D30" s="41" t="n"/>
      <c r="E30" s="42" t="n"/>
      <c r="F30" s="36" t="inlineStr">
        <is>
          <t>Hoja Mensual, ferias pagadas</t>
        </is>
      </c>
      <c r="G30" s="41" t="n"/>
      <c r="H30" s="41" t="n"/>
      <c r="I30" s="41" t="n"/>
      <c r="J30" s="41" t="n"/>
      <c r="K30" s="42" t="n"/>
      <c r="L30" s="43" t="n">
        <v>4140</v>
      </c>
    </row>
    <row r="31" ht="15" customHeight="1" s="24">
      <c r="B31" s="31" t="inlineStr">
        <is>
          <t>Eventos sin costo: vendedor(a) S/90 y aporte S/70 (40 eventos)</t>
        </is>
      </c>
      <c r="C31" s="41" t="n"/>
      <c r="D31" s="41" t="n"/>
      <c r="E31" s="42" t="n"/>
      <c r="F31" s="36" t="inlineStr">
        <is>
          <t>Hoja Mensual, eventos sin costo</t>
        </is>
      </c>
      <c r="G31" s="41" t="n"/>
      <c r="H31" s="41" t="n"/>
      <c r="I31" s="41" t="n"/>
      <c r="J31" s="41" t="n"/>
      <c r="K31" s="42" t="n"/>
      <c r="L31" s="43" t="n">
        <v>6400</v>
      </c>
    </row>
    <row r="32">
      <c r="B32" s="44" t="inlineStr">
        <is>
          <t>Total del plan de marketing</t>
        </is>
      </c>
      <c r="C32" s="41" t="n"/>
      <c r="D32" s="41" t="n"/>
      <c r="E32" s="42" t="n"/>
      <c r="F32" s="36" t="inlineStr">
        <is>
          <t>Debe ser igual al presupuesto total de arriba</t>
        </is>
      </c>
      <c r="G32" s="41" t="n"/>
      <c r="H32" s="41" t="n"/>
      <c r="I32" s="41" t="n"/>
      <c r="J32" s="41" t="n"/>
      <c r="K32" s="42" t="n"/>
      <c r="L32" s="45">
        <f>L28+L29+L30+L31</f>
        <v/>
      </c>
      <c r="M32" s="46">
        <f>IF(L32=S23,"Cuadra","Revisar")</f>
        <v/>
      </c>
    </row>
    <row r="33"/>
    <row r="34" ht="15" customHeight="1" s="24"/>
    <row r="35" ht="15" customHeight="1" s="24">
      <c r="B35" s="40" t="inlineStr">
        <is>
          <t>Presupuesto por tipo de medio</t>
        </is>
      </c>
    </row>
    <row r="36" ht="15" customHeight="1" s="24">
      <c r="B36" s="23">
        <f>B6</f>
        <v/>
      </c>
      <c r="C36" s="47">
        <f>S6</f>
        <v/>
      </c>
      <c r="D36" s="48">
        <f>C36/S23</f>
        <v/>
      </c>
    </row>
    <row r="37" ht="15" customHeight="1" s="24">
      <c r="B37" s="23">
        <f>B11</f>
        <v/>
      </c>
      <c r="C37" s="47">
        <f>S11</f>
        <v/>
      </c>
      <c r="D37" s="48">
        <f>C37/S23</f>
        <v/>
      </c>
    </row>
    <row r="38" ht="15" customHeight="1" s="24">
      <c r="B38" s="23">
        <f>B14</f>
        <v/>
      </c>
      <c r="C38" s="47">
        <f>S14</f>
        <v/>
      </c>
      <c r="D38" s="48">
        <f>C38/S23</f>
        <v/>
      </c>
    </row>
    <row r="39">
      <c r="B39" s="23">
        <f>B19</f>
        <v/>
      </c>
      <c r="C39" s="47">
        <f>S19</f>
        <v/>
      </c>
      <c r="D39" s="48">
        <f>C39/S23</f>
        <v/>
      </c>
    </row>
  </sheetData>
  <mergeCells count="14">
    <mergeCell ref="B31:E31"/>
    <mergeCell ref="B26:E26"/>
    <mergeCell ref="F25:K25"/>
    <mergeCell ref="B27:E27"/>
    <mergeCell ref="F28:K28"/>
    <mergeCell ref="B30:E30"/>
    <mergeCell ref="F26:K26"/>
    <mergeCell ref="F27:K27"/>
    <mergeCell ref="B29:E29"/>
    <mergeCell ref="F31:K31"/>
    <mergeCell ref="B25:E25"/>
    <mergeCell ref="B28:E28"/>
    <mergeCell ref="F30:K30"/>
    <mergeCell ref="F29:K2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2026-10-10T20:53:42Z</dcterms:created>
  <dcterms:modified xmlns:dcterms="http://purl.org/dc/terms/" xmlns:xsi="http://www.w3.org/2001/XMLSchema-instance" xsi:type="dcterms:W3CDTF">2026-10-20T02:00:49Z</dcterms:modified>
  <cp:revision>1</cp:revision>
</cp:coreProperties>
</file>