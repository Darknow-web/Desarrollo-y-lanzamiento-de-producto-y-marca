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eme" sheetId="1" state="visible" r:id="rId3"/>
    <sheet name="Resumen" sheetId="2" state="visible" r:id="rId4"/>
    <sheet name="Supuestos" sheetId="3" state="visible" r:id="rId5"/>
    <sheet name="Costeo" sheetId="4" state="visible" r:id="rId6"/>
    <sheet name="Proyeccion" sheetId="5" state="visible" r:id="rId7"/>
    <sheet name="Inversion" sheetId="6" state="visible" r:id="rId8"/>
    <sheet name="Mensual" sheetId="7" state="visible" r:id="rId9"/>
    <sheet name="Anio2"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<sst xmlns="http://schemas.openxmlformats.org/spreadsheetml/2006/main" count="592" uniqueCount="389">
  <si>
    <t xml:space="preserve">Cómo usar este archivo</t>
  </si>
  <si>
    <t xml:space="preserve">Qué es: el costeo de AndiBite con cuatro presentaciones (unidad individual, pack de 6, pack de 12 y caja de 3 sabores) y dos formas de armar el pack de 6 (opción B con bolsitas y opción C con brownies sueltos). La planta de maquila hornea y empaca; no hay planta propia.</t>
  </si>
  <si>
    <t xml:space="preserve">Colores:</t>
  </si>
  <si>
    <t xml:space="preserve">  Texto azul = dato que pueden cambiar (precios, costos, mezcla, unidades por mes).</t>
  </si>
  <si>
    <t xml:space="preserve">  Fondo amarillo = supuesto clave que todavía no está cotizado o validado.</t>
  </si>
  <si>
    <t xml:space="preserve">  Texto negro = fórmula. Texto verde = fórmula que trae un dato de otra hoja.</t>
  </si>
  <si>
    <t xml:space="preserve">Hojas:</t>
  </si>
  <si>
    <t xml:space="preserve">  Resumen: costo por presentación, resultado del año y punto de equilibrio con las opciones B y C.</t>
  </si>
  <si>
    <t xml:space="preserve">  Supuestos: todos los datos de entrada con su fuente.</t>
  </si>
  <si>
    <t xml:space="preserve">  Inversion: la inversión inicial, con todos los documentos y permisos para vender, y su financiamiento.</t>
  </si>
  <si>
    <t xml:space="preserve">  Costeo: costo de producción de cada presentación, línea por línea.</t>
  </si>
  <si>
    <t xml:space="preserve">  Proyeccion: el año 1 desglosado por canal y presentación.</t>
  </si>
  <si>
    <t xml:space="preserve">  Mensual: actividad comercial de cada mes del año 1 (stands, ferias, eventos, colegios y naturistas), unidades por canal, producción a pedir a la planta y resultado mensual.</t>
  </si>
  <si>
    <t xml:space="preserve">  Anio2: el año 2 (2028) mes a mes con los 3 puntos de venta todo el año, su utilidad neta y la caja.</t>
  </si>
  <si>
    <t xml:space="preserve">Cómo se proyecta cuando un producto tiene varias presentaciones (método de mezcla de ventas):</t>
  </si>
  <si>
    <t xml:space="preserve">  1. Se proyectan las unidades de brownie por canal (cuántos brownies se comen, no cuántas bolsas). En el stand: puntos × días × brownies por día; en ferias: ferias × brownies por feria; WhatsApp: lo que vuelve a comprarse de lo vendido en físico.</t>
  </si>
  <si>
    <t xml:space="preserve">  2. En cada canal se define la mezcla: qué % de esas unidades sale como unidad suelta, pack de 6 o pack de 12. Cada canal compra distinto: en el stand 6 de cada 10 se venden sueltos para probar; por WhatsApp se compran packs.</t>
  </si>
  <si>
    <t xml:space="preserve">  3. Unidades × mezcla ÷ tamaño del envase = envases vendidos de cada presentación.</t>
  </si>
  <si>
    <t xml:space="preserve">  4. Envases × precio de esa presentación en ese canal = ingreso. Envases × costo de esa presentación = costo de producción.</t>
  </si>
  <si>
    <t xml:space="preserve">  5. Se resta el costo variable del canal (delivery, pasarela, degustación) y se suman las contribuciones. A esa suma se le restan el alquiler de los stands, las impulsadoras, las ferias pagadas y los costos fijos: eso es el resultado.</t>
  </si>
  <si>
    <t xml:space="preserve">  La ventaja: si cambia la mezcla (por ejemplo, más packs de 12), el ingreso y el margen se recalculan solos sin rehacer la proyección.</t>
  </si>
  <si>
    <t xml:space="preserve">Ejemplos para probar: en Mensual, cambie los brownies por día en cada punto (fila 7); en Supuestos, cambie el alquiler por punto (B57) o la maquila (B7) y mire el resultado en Resumen.</t>
  </si>
  <si>
    <t xml:space="preserve">Modelo v7 (10-oct-2026): app a S/2,000 (prototipo hecho), delivery agrupado, embajadoras dentro de marketing, naturista S/18.50 y quiosco S/3.20, hierro medido cada 2 meses desde julio, caja de 3 sabores en el stand a S/16.50, ferias pagadas en febrero y abril (sin Navidad), vendedor(a) pagado(a) en ferias y eventos, carné de sanidad como requisito al contratar y línea de crédito de respaldo.</t>
  </si>
  <si>
    <t xml:space="preserve">AndiBite — Resumen del año 1 (enero a diciembre de 2027) y del año 2 (2028), escenario base con venta física</t>
  </si>
  <si>
    <t xml:space="preserve">Todo se calcula desde las hojas Supuestos, Inversion, Costeo, Proyeccion, Mensual y Anio2. Cambie las celdas azules de Supuestos, Mensual o Anio2.</t>
  </si>
  <si>
    <t xml:space="preserve">Presentación</t>
  </si>
  <si>
    <t xml:space="preserve">Costo de producción por envase</t>
  </si>
  <si>
    <t xml:space="preserve">Costo por unidad</t>
  </si>
  <si>
    <t xml:space="preserve">Precio en stand (con IGV)</t>
  </si>
  <si>
    <t xml:space="preserve">Margen bruto % en stand</t>
  </si>
  <si>
    <t xml:space="preserve">Precio por WhatsApp (con IGV)</t>
  </si>
  <si>
    <t xml:space="preserve">Margen bruto % por WhatsApp</t>
  </si>
  <si>
    <t xml:space="preserve">Unidad individual</t>
  </si>
  <si>
    <t xml:space="preserve">Pack de 6 — opción B (con bolsitas)</t>
  </si>
  <si>
    <t xml:space="preserve">Pack de 6 — opción C (sueltos)</t>
  </si>
  <si>
    <t xml:space="preserve">Pack de 12</t>
  </si>
  <si>
    <t xml:space="preserve">Caja de 3 sabores</t>
  </si>
  <si>
    <t xml:space="preserve">Año 1</t>
  </si>
  <si>
    <t xml:space="preserve">Opción B (bolsitas)</t>
  </si>
  <si>
    <t xml:space="preserve">Opción C (sueltos)</t>
  </si>
  <si>
    <t xml:space="preserve">Unidades vendidas</t>
  </si>
  <si>
    <t xml:space="preserve">Ventas con IGV</t>
  </si>
  <si>
    <t xml:space="preserve">Ventas sin IGV</t>
  </si>
  <si>
    <t xml:space="preserve">Contribución (ventas sin IGV menos producción y costos variables de canal)</t>
  </si>
  <si>
    <t xml:space="preserve">Stands, carritos, ferias y eventos del año (espacio, vendedores, ferias pagadas y aportes)</t>
  </si>
  <si>
    <t xml:space="preserve">Costos fijos del año</t>
  </si>
  <si>
    <t xml:space="preserve">Resultado operativo del año (antes de intereses y renta anual)</t>
  </si>
  <si>
    <t xml:space="preserve">Margen operativo sobre ventas sin IGV</t>
  </si>
  <si>
    <t xml:space="preserve">Contribución por unidad después de stands, ferias y eventos</t>
  </si>
  <si>
    <t xml:space="preserve">Punto de equilibrio (unidades al mes, promedio del año)</t>
  </si>
  <si>
    <t xml:space="preserve">Punto de equilibrio en packs de 6 equivalentes al mes</t>
  </si>
  <si>
    <t xml:space="preserve">Inversión inicial (incluye todos los documentos y permisos)</t>
  </si>
  <si>
    <t xml:space="preserve">Resultado del año 1 menos la inversión (negativo = falta recuperar)</t>
  </si>
  <si>
    <t xml:space="preserve">Caja más baja del año, con la cuota del préstamo (opción B)</t>
  </si>
  <si>
    <t xml:space="preserve">Mes en que se recupera la inversión (mes 1 = enero de 2027; con el año 2 de la hoja Anio2)</t>
  </si>
  <si>
    <t xml:space="preserve">—</t>
  </si>
  <si>
    <t xml:space="preserve">De resultado operativo a utilidad neta (año 1, opción B)</t>
  </si>
  <si>
    <t xml:space="preserve">Resultado operativo</t>
  </si>
  <si>
    <t xml:space="preserve">Más: pagos a cuenta de renta ya restados en el costo de canal (1 % de las ventas sin IGV)</t>
  </si>
  <si>
    <t xml:space="preserve">Menos: intereses del préstamo en el año 1</t>
  </si>
  <si>
    <t xml:space="preserve">Utilidad antes de impuestos</t>
  </si>
  <si>
    <t xml:space="preserve">Impuesto a la renta del Régimen MYPE Tributario (10 % hasta 15 UIT de utilidad)</t>
  </si>
  <si>
    <t xml:space="preserve">Utilidad neta del año 1</t>
  </si>
  <si>
    <t xml:space="preserve">Rentabilidad del aporte de los socios en el año 1 (utilidad neta / S/25,000)</t>
  </si>
  <si>
    <t xml:space="preserve">Año 2 (enero a diciembre de 2028, hoja Anio2)</t>
  </si>
  <si>
    <t xml:space="preserve">Resultado operativo del año 2</t>
  </si>
  <si>
    <t xml:space="preserve">Utilidad neta del año 2</t>
  </si>
  <si>
    <t xml:space="preserve">Rentabilidad del aporte de los socios en el año 2</t>
  </si>
  <si>
    <t xml:space="preserve">Caja al cierre del año 2 (préstamo ya pagado)</t>
  </si>
  <si>
    <t xml:space="preserve">Notas</t>
  </si>
  <si>
    <t xml:space="preserve">1. La proyección supone que los documentos (S.A.C., marca, registro sanitario, análisis, etiqueta y póliza) ya están listos al inicio de ventas (mes 1, enero de 2027). Su costo está en la hoja Inversion. El carné de sanidad es requisito al contratar.</t>
  </si>
  <si>
    <t xml:space="preserve">2. La venta física (stands, carritos, ferias y eventos) es el canal principal; WhatsApp queda para la recompra, sin suscripción. Todos los puntos de venta y eventos llevan vendedor(a) pagado(a) y un(a) coordinador(a) en planilla atiende pedidos y despacho.</t>
  </si>
  <si>
    <t xml:space="preserve">3. Costo de producción con sangrecita de res en polvo liofilizada (S/0.605 de insumos por brownie, polvo a S/300 por kg a granel) y maquila de S/0.45 por brownie. Cada envase trae un código único de la app Andi, Misión Hierro.</t>
  </si>
  <si>
    <t xml:space="preserve">4. El resultado operativo ya incluye al personal que opera el negocio (vendedores y coordinador en planilla). La utilidad neta descuenta además los intereses del préstamo y el impuesto a la renta.</t>
  </si>
  <si>
    <t xml:space="preserve">5. Respaldo: línea de crédito de S/3,000 (hoja Inversion) por si las ventas por punto bajan; con 20 % menos, la caja más baja del año 1 llegaría a unos −S/2,200 y la línea la cubre.</t>
  </si>
  <si>
    <t xml:space="preserve">Supuestos del costeo — AndiBite (maquila, escenario de 3,000 unidades al mes)</t>
  </si>
  <si>
    <t xml:space="preserve">Celdas azules = datos que pueden cambiar. Amarillo = supuestos clave sin cotizar. Montos en soles. Fuente general: 04-reformulacion/05-plan-comercial-y-financiero.md, sección 4.</t>
  </si>
  <si>
    <t xml:space="preserve">1. Costos de producción por unidad de 20 g (sin IGV)</t>
  </si>
  <si>
    <t xml:space="preserve">Concepto</t>
  </si>
  <si>
    <t xml:space="preserve">Valor</t>
  </si>
  <si>
    <t xml:space="preserve">Unidad</t>
  </si>
  <si>
    <t xml:space="preserve">Fuente o nota</t>
  </si>
  <si>
    <t xml:space="preserve">Insumos por unidad (promedio de los 3 sabores, con sangrecita de res en polvo liofilizada)</t>
  </si>
  <si>
    <t xml:space="preserve">S/ por unidad</t>
  </si>
  <si>
    <t xml:space="preserve">Receta 5 del documento 01: 22 g de sangrecita en polvo + 98 g de agua por lote de 24 (0.92 g de polvo por brownie). Polvo de res liofilizado con registro sanitario, comprado a granel en bolsas de 1 a 5 kg a S/300 por kg (en sobre de tienda cuesta S/417 a 667 por kg: Malli, Allpa Manta). Resto de insumos según documento 05 (Makro, mayoristas, Plaza Vea y Wong, sin IGV)</t>
  </si>
  <si>
    <t xml:space="preserve">Maquila por unidad (la planta hidrata la sangrecita en polvo, mezcla, hornea, corta, pesa y sella la bolsita)</t>
  </si>
  <si>
    <t xml:space="preserve">Tarifa de maquila de snacks horneados en Lima: S/20.75 por kg de producto terminado, elaboración y empaque incluidos (Organic Andean Bites, documento 03), actualizada a 2027: S/0.45 por brownie de 20 g</t>
  </si>
  <si>
    <t xml:space="preserve">Descuento de maquila si no se empaca cada unidad (opción C)</t>
  </si>
  <si>
    <t xml:space="preserve">[HIPÓTESIS] Dejar en 0 hasta que la planta lo confirme</t>
  </si>
  <si>
    <t xml:space="preserve">Bolsita individual (flow pack sin imprimir)</t>
  </si>
  <si>
    <t xml:space="preserve">Documento 05, tabla 4.2</t>
  </si>
  <si>
    <t xml:space="preserve">Etiqueta individual con rotulado completo y código único de la app (solo unidad que se vende suelta)</t>
  </si>
  <si>
    <t xml:space="preserve">Imprenta Peruana, 1,000 unidades sin IGV (documento 02): S/0.25, más S/0.04 por el código único impreso con dato variable (QR de la app Andi, Misión Hierro)</t>
  </si>
  <si>
    <t xml:space="preserve">Papel manteca separador entre brownies (opción C)</t>
  </si>
  <si>
    <t xml:space="preserve">[HIPÓTESIS] Rollo de supermercado prorrateado</t>
  </si>
  <si>
    <t xml:space="preserve">Control de calidad por lote (microbiológico y hierro medido), prorrateado por unidad</t>
  </si>
  <si>
    <t xml:space="preserve">Análisis microbiológico de cada lote mensual S/250 (12 al año, documento 05) + hierro medido S/375 (el resultado se publica en la app): todos los meses de enero a junio y cada 2 meses desde julio (9 al año, cuando la receta ya es estable) / 4,400 unidades al mes en promedio del año 1</t>
  </si>
  <si>
    <t xml:space="preserve">Transporte planta-almacén por unidad</t>
  </si>
  <si>
    <t xml:space="preserve">2 viajes de S/80 al mes / 3,000 unidades (documento 05)</t>
  </si>
  <si>
    <t xml:space="preserve">Almacenamiento por unidad</t>
  </si>
  <si>
    <t xml:space="preserve">Pactado con la planta u operador logístico (documento 05)</t>
  </si>
  <si>
    <t xml:space="preserve">Merma (sobre insumos, maquila y empaque)</t>
  </si>
  <si>
    <t xml:space="preserve">%</t>
  </si>
  <si>
    <t xml:space="preserve">[HIPÓTESIS] Documento 05</t>
  </si>
  <si>
    <t xml:space="preserve">2. Empaque del pack (por envase, sin IGV)</t>
  </si>
  <si>
    <t xml:space="preserve">Doypack kraft para 6 unidades</t>
  </si>
  <si>
    <t xml:space="preserve">S/ por envase</t>
  </si>
  <si>
    <t xml:space="preserve">S/0.625 con IGV por 1,000 unidades (documento 02)</t>
  </si>
  <si>
    <t xml:space="preserve">Etiquetas del doypack de 6 (frente y reverso, con código único de la app)</t>
  </si>
  <si>
    <t xml:space="preserve">2 x S/0.36, 1,000 unidades (documento 02), más S/0.04 del código único de la app</t>
  </si>
  <si>
    <t xml:space="preserve">Doypack kraft para 12 unidades</t>
  </si>
  <si>
    <t xml:space="preserve">[HIPÓTESIS] Talla mayor; cotizar</t>
  </si>
  <si>
    <t xml:space="preserve">Etiquetas del doypack de 12 (frente y reverso, con código único de la app)</t>
  </si>
  <si>
    <t xml:space="preserve">Mismo sticker que el pack de 6</t>
  </si>
  <si>
    <t xml:space="preserve">Caja kraft para 3 sabores (lleva la etiqueta individual con el código de la app)</t>
  </si>
  <si>
    <t xml:space="preserve">[HIPÓTESIS] Caja plegable kraft de 3 unidades, 1,000 unidades; cotizar con la imprenta del doypack</t>
  </si>
  <si>
    <t xml:space="preserve">3. Impuestos y comisiones</t>
  </si>
  <si>
    <t xml:space="preserve">IGV</t>
  </si>
  <si>
    <t xml:space="preserve">SUNAT</t>
  </si>
  <si>
    <t xml:space="preserve">Pasarela de pagos (Yape, Plin, tarjeta) sobre el precio con IGV</t>
  </si>
  <si>
    <t xml:space="preserve">Mezcla Culqi 3.44-3.99 % con 15 % de transferencias sin costo (documento 05)</t>
  </si>
  <si>
    <t xml:space="preserve">Renta RMT, pago a cuenta mensual sobre la venta sin IGV</t>
  </si>
  <si>
    <t xml:space="preserve">Régimen MYPE Tributario (documento 05)</t>
  </si>
  <si>
    <t xml:space="preserve">4. Costo variable de canal por unidad (sin IGV; el alquiler, el personal y las ferias van en la sección 7)</t>
  </si>
  <si>
    <t xml:space="preserve">Canal</t>
  </si>
  <si>
    <t xml:space="preserve">Logística por unidad (S/)</t>
  </si>
  <si>
    <t xml:space="preserve">¿Paga pasarela? (1 = sí, 0 = no)</t>
  </si>
  <si>
    <t xml:space="preserve">Nota</t>
  </si>
  <si>
    <t xml:space="preserve">Stands y carritos (malls y supermercados)</t>
  </si>
  <si>
    <t xml:space="preserve">Degustación: 1 brownie regalado por cada 10 vendidos (S/0.17) + movilidad y bolsas (S/0.10) [HIPÓTESIS]</t>
  </si>
  <si>
    <t xml:space="preserve">Ferias y eventos</t>
  </si>
  <si>
    <t xml:space="preserve">Igual que el stand; el costo de la feria va aparte (sección 7)</t>
  </si>
  <si>
    <t xml:space="preserve">Recompra por WhatsApp e Instagram (delivery)</t>
  </si>
  <si>
    <t xml:space="preserve">Delivery agrupado: entregas 2 días por semana por zona (unos S/6 por pedido de 12 unidades con 3 a 4 pedidos por ruta) y recojo gratis en el stand; gratis desde 2 packs (antes S/0.80 con delivery suelto de S/9.50)</t>
  </si>
  <si>
    <t xml:space="preserve">Colegios (quiosco)</t>
  </si>
  <si>
    <t xml:space="preserve">[HIPÓTESIS] Ruta semanal al colegio; cobro por factura</t>
  </si>
  <si>
    <t xml:space="preserve">Tiendas naturistas</t>
  </si>
  <si>
    <t xml:space="preserve">[HIPÓTESIS] Reposición quincenal; cobro por factura</t>
  </si>
  <si>
    <t xml:space="preserve">5. Precio que cobra AndiBite por presentación y canal (S/ con IGV)</t>
  </si>
  <si>
    <t xml:space="preserve">Pack de 6</t>
  </si>
  <si>
    <t xml:space="preserve">Precio de lista en físico. La unidad suelta (S/6.00) es la compra de prueba; la caja de 3 sabores (S/16.50, S/5.50 por brownie) es para llevar a casa; el pack de 6 (S/4.65 por brownie) es la compra conveniente. Incluye hierro medido por lote y la app Andi, Misión Hierro</t>
  </si>
  <si>
    <t xml:space="preserve">Mismo precio que en el stand</t>
  </si>
  <si>
    <t xml:space="preserve">S/4.48 por brownie en el pack de 6 (Fika S/4.00 y Mamalama S/4.10 por 20 g no miden su hierro ni traen app). Por WhatsApp no se vende la unidad suelta: la caja de 3 sabores cuesta S/12.00</t>
  </si>
  <si>
    <t xml:space="preserve">El alumno paga S/4.00; el concesionario se queda 20 % (antes 25 %, S/3.00)</t>
  </si>
  <si>
    <t xml:space="preserve">AndiBite cobra S/18.50 a la tienda y el anaquel queda en S/28.90: la tienda gana S/10.40 por pack (36 %; antes S/17.34, 40 %)</t>
  </si>
  <si>
    <t xml:space="preserve">6. Mezcla de presentaciones por canal (% de las unidades que vende cada canal)</t>
  </si>
  <si>
    <t xml:space="preserve">Suma (debe ser 100 %)</t>
  </si>
  <si>
    <t xml:space="preserve">Stand: 5 de cada 10 brownies se venden sueltos para probar en el momento y 1 de cada 10 sale en caja de 3 sabores. WhatsApp: 60/30/10 del documento 05 (la caja de 3 reemplaza a la unidad). Resto: [HIPÓTESIS] según cómo compra cada canal.</t>
  </si>
  <si>
    <t xml:space="preserve">7. Stands, carritos y ferias</t>
  </si>
  <si>
    <t xml:space="preserve">Espacio para el carrito o stand de fin de semana en mall o supermercado, por punto al mes</t>
  </si>
  <si>
    <t xml:space="preserve">S/ al mes</t>
  </si>
  <si>
    <t xml:space="preserve">Módulo de 2 x 2 m en malls desde S/500 al mes (Gestión, 15-sep-2023); la entrada de un supermercado de Lima Top cuesta algo más (documento 08)</t>
  </si>
  <si>
    <t xml:space="preserve">Pago a vendedor(a) de stand por día</t>
  </si>
  <si>
    <t xml:space="preserve">S/ por día</t>
  </si>
  <si>
    <t xml:space="preserve">Pago de impulsadoras en Lima: S/50 a 90 por día de fin de semana (Computrabajo, documento 08)</t>
  </si>
  <si>
    <t xml:space="preserve">Puntos de venta que atienden los socios sin pago</t>
  </si>
  <si>
    <t xml:space="preserve">puntos</t>
  </si>
  <si>
    <t xml:space="preserve">Todos los puntos de venta llevan un(a) vendedor(a) pagado(a); los socios supervisan</t>
  </si>
  <si>
    <t xml:space="preserve">Stand en feria pagada (2 a 3 días)</t>
  </si>
  <si>
    <t xml:space="preserve">S/ por feria</t>
  </si>
  <si>
    <t xml:space="preserve">Campaña escolar (febrero) y Día del Niño Peruano (segundo domingo de abril). No hay tarifa publicada de una feria del Día del Niño; ferias parecidas de Lima: La Feria de Barranco S/1,650 a 2,000 por 2 días; Expo Eventos S/1,800 + IGV por un stand de 3 x 2 m; feria del Parque de las Leyendas S/600 por 2 x 2 m (documento 08)</t>
  </si>
  <si>
    <t xml:space="preserve">Días de vendedor(a) por feria pagada</t>
  </si>
  <si>
    <t xml:space="preserve">días</t>
  </si>
  <si>
    <t xml:space="preserve">Una feria dura 2 a 3 días; cada día se paga a S/90 (fila 58)</t>
  </si>
  <si>
    <t xml:space="preserve">Brownies vendidos por feria pagada</t>
  </si>
  <si>
    <t xml:space="preserve">unidades</t>
  </si>
  <si>
    <t xml:space="preserve">[HIPÓTESIS] Una mype vende unos S/3,000 por feria de PRODUCE (unos 625 brownies)</t>
  </si>
  <si>
    <t xml:space="preserve">Brownies por evento sin costo (kermés, cumpleaños, feria saludable o municipal)</t>
  </si>
  <si>
    <t xml:space="preserve">[HIPÓTESIS]</t>
  </si>
  <si>
    <t xml:space="preserve">Aporte al organizador por evento sin costo (rifa, premio o porcentaje de la venta)</t>
  </si>
  <si>
    <t xml:space="preserve">S/ por evento</t>
  </si>
  <si>
    <t xml:space="preserve">Las kermeses y ferias municipales o de PRODUCE no cobran stand, pero se dona un aporte; al evento también va un(a) vendedor(a) pagado(a) 1 día (fila 58). Las ferias saludables se tratan así hasta tener su tarifa</t>
  </si>
  <si>
    <t xml:space="preserve">Lo vendido en físico que vuelve a comprarse por WhatsApp el mes siguiente</t>
  </si>
  <si>
    <t xml:space="preserve">% de las unidades</t>
  </si>
  <si>
    <t xml:space="preserve">[HIPÓTESIS] Recompra con recordatorio de la app y de WhatsApp; sin suscripción</t>
  </si>
  <si>
    <t xml:space="preserve">Pedidos por WhatsApp del primer mes (lista de espera)</t>
  </si>
  <si>
    <t xml:space="preserve">8. Costos fijos mensuales (S/ sin IGV)</t>
  </si>
  <si>
    <t xml:space="preserve">Administración: contador, software de facturación, web, teléfono, movilidad, GS1, banco, uniformes del personal de stand y app (servidor, base de datos y mantenimiento)</t>
  </si>
  <si>
    <t xml:space="preserve">Documento 05, sección 4.1 (S/700) más S/45 al mes de uniformes y reposición del material de stand, más S/250 al mes de la app (Cloud Run y Firestore de Google, envío de recordatorios y mantenimiento de un desarrollador). El carné de sanidad ya no se paga: es requisito al contratar a vendedores y coordinador(a)</t>
  </si>
  <si>
    <t xml:space="preserve">Coordinador(a) comercial y de operaciones (planilla, medio tiempo de 4 horas)</t>
  </si>
  <si>
    <t xml:space="preserve">Media remuneración mínima de 2027 (S/1,300 según el DS 015-2026-TR) más 9 % de EsSalud; microempresa en el REMYPE. Atiende WhatsApp, pedidos y despacho, y lleva el stock a los stands</t>
  </si>
  <si>
    <t xml:space="preserve">Marketing: pauta digital, degustaciones y material de stand (promedio del año)</t>
  </si>
  <si>
    <t xml:space="preserve">La captación se hace en el stand; la pauta apoya las fechas clave (plan de marketing mes a mes en el documento 05)</t>
  </si>
  <si>
    <t xml:space="preserve">Mamás embajadoras: premio por recomendar con su código en el chat del colegio</t>
  </si>
  <si>
    <t xml:space="preserve">Un pack de regalo o descuento por cada familia nueva que llega con su código (unas 20 al mes); premia al padre, nunca al niño (Ley 30021)</t>
  </si>
  <si>
    <t xml:space="preserve">Depreciación de equipos y carrito (36 meses)</t>
  </si>
  <si>
    <t xml:space="preserve">Hoja Inversion</t>
  </si>
  <si>
    <t xml:space="preserve">Total costos fijos al mes</t>
  </si>
  <si>
    <t xml:space="preserve">9. Mezcla de sabores (para planear compras y producción)</t>
  </si>
  <si>
    <t xml:space="preserve">Sabor</t>
  </si>
  <si>
    <t xml:space="preserve">Chispa (choco clásico con chispas)</t>
  </si>
  <si>
    <t xml:space="preserve">[HIPÓTESIS] Ajustar con el focus 2</t>
  </si>
  <si>
    <t xml:space="preserve">Andi (choco, plátano, canela y cañihua)</t>
  </si>
  <si>
    <t xml:space="preserve">Lúcu (choco y lúcuma)</t>
  </si>
  <si>
    <t xml:space="preserve">Suma</t>
  </si>
  <si>
    <t xml:space="preserve">Costo de producción por presentación (sin IGV)</t>
  </si>
  <si>
    <t xml:space="preserve">Opción B: cada brownie en bolsita sin etiqueta, dentro del doypack con etiqueta. Opción C: brownies sueltos con papel manteca dentro del doypack. Unidad individual: bolsita con etiqueta completa. Caja de 3 sabores: 3 bolsitas en una caja kraft con una etiqueta.</t>
  </si>
  <si>
    <t xml:space="preserve">Pack de 12 (con bolsitas)</t>
  </si>
  <si>
    <t xml:space="preserve">Caja de 3 sabores (con bolsitas)</t>
  </si>
  <si>
    <t xml:space="preserve">Unidades por presentación</t>
  </si>
  <si>
    <t xml:space="preserve">Insumos</t>
  </si>
  <si>
    <t xml:space="preserve">Maquila</t>
  </si>
  <si>
    <t xml:space="preserve">Bolsita individual (flow pack)</t>
  </si>
  <si>
    <t xml:space="preserve">Etiqueta individual (con código de la app)</t>
  </si>
  <si>
    <t xml:space="preserve">Papel manteca separador</t>
  </si>
  <si>
    <t xml:space="preserve">Doypack o caja</t>
  </si>
  <si>
    <t xml:space="preserve">Etiquetas del doypack</t>
  </si>
  <si>
    <t xml:space="preserve">Merma</t>
  </si>
  <si>
    <t xml:space="preserve">Control de calidad, transporte y almacén</t>
  </si>
  <si>
    <t xml:space="preserve">Costo de producción por presentación</t>
  </si>
  <si>
    <t xml:space="preserve">Costo de producción por unidad</t>
  </si>
  <si>
    <t xml:space="preserve">Venta en stand o carrito (precio de lista en físico)</t>
  </si>
  <si>
    <t xml:space="preserve">Precio con IGV</t>
  </si>
  <si>
    <t xml:space="preserve">Precio sin IGV</t>
  </si>
  <si>
    <t xml:space="preserve">Margen bruto por presentación (precio sin IGV menos costo de producción)</t>
  </si>
  <si>
    <t xml:space="preserve">Margen bruto %</t>
  </si>
  <si>
    <t xml:space="preserve">Recompra por WhatsApp e Instagram</t>
  </si>
  <si>
    <t xml:space="preserve">El margen bruto no incluye alquiler del stand, personal, delivery, pasarela, comisiones ni costos fijos: eso se calcula en las hojas Proyeccion y Mensual.</t>
  </si>
  <si>
    <t xml:space="preserve">Proyección anual por canal y presentación (año 1: enero a diciembre de 2027)</t>
  </si>
  <si>
    <t xml:space="preserve">Paso a paso: unidades del canal (hoja Mensual) × mezcla de presentaciones (Supuestos) = unidades por presentación; ÷ tamaño = envases vendidos; × precio = ingreso; menos costo de producción y costo variable de canal = contribución.</t>
  </si>
  <si>
    <t xml:space="preserve">Unidades por envase</t>
  </si>
  <si>
    <t xml:space="preserve">Unidades del canal en el año</t>
  </si>
  <si>
    <t xml:space="preserve">% de la mezcla</t>
  </si>
  <si>
    <t xml:space="preserve">Envases vendidos</t>
  </si>
  <si>
    <t xml:space="preserve">Precio cobrado con IGV por envase</t>
  </si>
  <si>
    <t xml:space="preserve">Ingreso con IGV</t>
  </si>
  <si>
    <t xml:space="preserve">Ingreso sin IGV</t>
  </si>
  <si>
    <t xml:space="preserve">Costo de producción por envase — opción B</t>
  </si>
  <si>
    <t xml:space="preserve">Costo de producción por envase — opción C</t>
  </si>
  <si>
    <t xml:space="preserve">Costo variable de canal por envase</t>
  </si>
  <si>
    <t xml:space="preserve">Contribución por envase — opción B</t>
  </si>
  <si>
    <t xml:space="preserve">Contribución por envase — opción C</t>
  </si>
  <si>
    <t xml:space="preserve">Contribución total — opción B</t>
  </si>
  <si>
    <t xml:space="preserve">Contribución total — opción C</t>
  </si>
  <si>
    <t xml:space="preserve">Margen de contribución % — B</t>
  </si>
  <si>
    <t xml:space="preserve">Margen de contribución % — C</t>
  </si>
  <si>
    <t xml:space="preserve">Total</t>
  </si>
  <si>
    <t xml:space="preserve">2. Contribución por canal (la usan las hojas Mensual y Anio2)</t>
  </si>
  <si>
    <t xml:space="preserve">Unidades</t>
  </si>
  <si>
    <t xml:space="preserve">Contribución — opción B</t>
  </si>
  <si>
    <t xml:space="preserve">Contribución — opción C</t>
  </si>
  <si>
    <t xml:space="preserve">Contribución por unidad — B</t>
  </si>
  <si>
    <t xml:space="preserve">Contribución por unidad — C</t>
  </si>
  <si>
    <t xml:space="preserve">Ingreso con IGV por unidad</t>
  </si>
  <si>
    <t xml:space="preserve">3. Resumen por presentación</t>
  </si>
  <si>
    <t xml:space="preserve">4. Unidades por sabor en el año (para compras de insumos)</t>
  </si>
  <si>
    <t xml:space="preserve">Unidades en el año</t>
  </si>
  <si>
    <t xml:space="preserve">Inversión inicial: todo lo necesario para vender desde el primer día</t>
  </si>
  <si>
    <t xml:space="preserve">Los documentos y permisos se pagan aquí, una sola vez. La proyección (hoja Mensual) supone que ya están listos al empezar las ventas en enero de 2027 (mes 1).</t>
  </si>
  <si>
    <t xml:space="preserve">S/ (sin IGV)</t>
  </si>
  <si>
    <t xml:space="preserve">1. Documentos y permisos para vender</t>
  </si>
  <si>
    <t xml:space="preserve">Constitución de AndiBite S.A.C. en un CDE de PRODUCE (notaría)</t>
  </si>
  <si>
    <t xml:space="preserve">Documento 05</t>
  </si>
  <si>
    <t xml:space="preserve">RUC, Régimen MYPE Tributario, REMYPE y libro de reclamaciones virtual</t>
  </si>
  <si>
    <t xml:space="preserve">SUNAT, PRODUCE e INDECOPI: sin costo</t>
  </si>
  <si>
    <t xml:space="preserve">Registro de marca en INDECOPI, clase 30 (tasa MYPE)</t>
  </si>
  <si>
    <t xml:space="preserve">Documento 03</t>
  </si>
  <si>
    <t xml:space="preserve">Revisión legal del contrato de maquila (la S.A.C. es titular del registro sanitario)</t>
  </si>
  <si>
    <t xml:space="preserve">Análisis para el registro sanitario (3 sabores × S/600)</t>
  </si>
  <si>
    <t xml:space="preserve">Perfil nutricional y hierro (3 × S/375)</t>
  </si>
  <si>
    <t xml:space="preserve">Estudio de vida útil acelerado</t>
  </si>
  <si>
    <t xml:space="preserve">Diseño y validación de la etiqueta (rotulado y Ley 30021)</t>
  </si>
  <si>
    <t xml:space="preserve">Registro sanitario DIGESA (tasa)</t>
  </si>
  <si>
    <t xml:space="preserve">TUPA 2026: sin costo (Comunicado 05-2026-DIGESA)</t>
  </si>
  <si>
    <t xml:space="preserve">Carné de sanidad: requisito para contratar a vendedores y coordinador(a), que ya lo traen vigente</t>
  </si>
  <si>
    <t xml:space="preserve">Ahorra S/75 (S/9 a 20 por persona, Andina). Verificar con cada mall o municipio que el carné del distrito del trabajador sea válido</t>
  </si>
  <si>
    <t xml:space="preserve">Póliza de responsabilidad civil para stands (1 año)</t>
  </si>
  <si>
    <t xml:space="preserve">[HIPÓTESIS] Cotizar con una aseguradora; algunos malls la piden</t>
  </si>
  <si>
    <t xml:space="preserve">Subtotal documentos y permisos</t>
  </si>
  <si>
    <t xml:space="preserve">2. Desarrollo del producto</t>
  </si>
  <si>
    <t xml:space="preserve">Pruebas caseras: insumos de 3 lotes</t>
  </si>
  <si>
    <t xml:space="preserve">Documento 02</t>
  </si>
  <si>
    <t xml:space="preserve">Endulzantes para la versión sin octógono</t>
  </si>
  <si>
    <t xml:space="preserve">Análisis preliminar de azúcar y hierro (2 × S/375)</t>
  </si>
  <si>
    <t xml:space="preserve">Prueba sensorial con niños</t>
  </si>
  <si>
    <t xml:space="preserve">Desarrollo y lote piloto en la planta</t>
  </si>
  <si>
    <t xml:space="preserve">[POR CONFIRMAR] Documento 05</t>
  </si>
  <si>
    <t xml:space="preserve">Subtotal desarrollo</t>
  </si>
  <si>
    <t xml:space="preserve">3. Marca, app y puntos de venta</t>
  </si>
  <si>
    <t xml:space="preserve">Identidad de marca</t>
  </si>
  <si>
    <t xml:space="preserve">Fotos de producto</t>
  </si>
  <si>
    <t xml:space="preserve">Web, dominio y app Andi, Misión Hierro (terminar, probar con familias y publicar)</t>
  </si>
  <si>
    <t xml:space="preserve">Web y dominio S/150 (documento 05) más S/2,000 para la app: el prototipo funcional ya está hecho (carpeta app-andi-mision-hierro); falta conectar el laboratorio real, probar con 10 familias, revisión legal y publicación (documento 09)</t>
  </si>
  <si>
    <t xml:space="preserve">Subtotal marca</t>
  </si>
  <si>
    <t xml:space="preserve">4. Arranque de la operación</t>
  </si>
  <si>
    <t xml:space="preserve">Empaque inicial (mínimos de compra)</t>
  </si>
  <si>
    <t xml:space="preserve">Documento 05, más S/120 de los códigos únicos de la app en las primeras 3,000 etiquetas</t>
  </si>
  <si>
    <t xml:space="preserve">Stock inicial para enero y febrero</t>
  </si>
  <si>
    <t xml:space="preserve">Documento 05, actualizado al costo con sangrecita en polvo (pack de 6 de S/8.29 a S/9.62)</t>
  </si>
  <si>
    <t xml:space="preserve">Marketing de lanzamiento (degustaciones, influencers, POP)</t>
  </si>
  <si>
    <t xml:space="preserve">Capital de trabajo (2 meses)</t>
  </si>
  <si>
    <t xml:space="preserve">Subtotal arranque</t>
  </si>
  <si>
    <t xml:space="preserve">5. Activos que se deprecian</t>
  </si>
  <si>
    <t xml:space="preserve">Equipos mínimos y carrito de exhibición con gráfica</t>
  </si>
  <si>
    <t xml:space="preserve">Equipos mínimos (balanza, selladora, coolers, kit de feria, POS)</t>
  </si>
  <si>
    <t xml:space="preserve">1 carrito de exhibición con vitrina y gráfica (los otros puntos usan el kit de feria o el módulo del mall)</t>
  </si>
  <si>
    <t xml:space="preserve">Melamina a medida S/1,150 a 1,350 por metro lineal, más vitrina y gráfica (documento 08)</t>
  </si>
  <si>
    <t xml:space="preserve">Imprevistos (10 % de todo lo anterior)</t>
  </si>
  <si>
    <t xml:space="preserve">INVERSIÓN TOTAL</t>
  </si>
  <si>
    <t xml:space="preserve">Financiamiento</t>
  </si>
  <si>
    <t xml:space="preserve">Fuente</t>
  </si>
  <si>
    <t xml:space="preserve">S/</t>
  </si>
  <si>
    <t xml:space="preserve">Aporte de los 5 socios</t>
  </si>
  <si>
    <t xml:space="preserve">S/5,000 cada uno (documento 05)</t>
  </si>
  <si>
    <t xml:space="preserve">Préstamo</t>
  </si>
  <si>
    <t xml:space="preserve">Lo que falta, redondeado a S/500</t>
  </si>
  <si>
    <t xml:space="preserve">Tasa efectiva anual del préstamo</t>
  </si>
  <si>
    <t xml:space="preserve">[POR CONFIRMAR] Comparar tasas de microempresa en la SBS</t>
  </si>
  <si>
    <t xml:space="preserve">Número de cuotas mensuales</t>
  </si>
  <si>
    <t xml:space="preserve">24 cuotas: con 12, la cuota (unos S/1,560) se come la caja de los primeros meses</t>
  </si>
  <si>
    <t xml:space="preserve">Cuota mensual</t>
  </si>
  <si>
    <t xml:space="preserve">Intereses totales del préstamo</t>
  </si>
  <si>
    <t xml:space="preserve">Caja que sobra después de financiar la inversión</t>
  </si>
  <si>
    <t xml:space="preserve">Línea de crédito de respaldo (no se usa en el plan base)</t>
  </si>
  <si>
    <t xml:space="preserve">Se abre con el banco del préstamo y solo se usa si las ventas bajan (con 20 % menos ventas por punto la caja más baja del año 1 llegaría a unos −S/2,200). Sin costo mientras no se use [POR CONFIRMAR con el banco]</t>
  </si>
  <si>
    <t xml:space="preserve">Proyección mensual del año 1 (mes 1 = enero de 2027), escenario base</t>
  </si>
  <si>
    <t xml:space="preserve">Supone que los documentos y permisos ya están listos (su costo está en la hoja Inversion). La venta física es el canal principal; WhatsApp queda para la recompra. Cambie los datos azules para probar otro escenario.</t>
  </si>
  <si>
    <t xml:space="preserve">Actividad comercial del mes (datos)</t>
  </si>
  <si>
    <t xml:space="preserve">M1 Ene-27</t>
  </si>
  <si>
    <t xml:space="preserve">M2 Feb-27</t>
  </si>
  <si>
    <t xml:space="preserve">M3 Mar-27</t>
  </si>
  <si>
    <t xml:space="preserve">M4 Abr-27</t>
  </si>
  <si>
    <t xml:space="preserve">M5 May-27</t>
  </si>
  <si>
    <t xml:space="preserve">M6 Jun-27</t>
  </si>
  <si>
    <t xml:space="preserve">M7 Jul-27</t>
  </si>
  <si>
    <t xml:space="preserve">M8 Ago-27</t>
  </si>
  <si>
    <t xml:space="preserve">M9 Set-27</t>
  </si>
  <si>
    <t xml:space="preserve">M10 Oct-27</t>
  </si>
  <si>
    <t xml:space="preserve">M11 Nov-27</t>
  </si>
  <si>
    <t xml:space="preserve">M12 Dic-27</t>
  </si>
  <si>
    <t xml:space="preserve">Total año</t>
  </si>
  <si>
    <t xml:space="preserve">Puntos de venta con stand o carrito (fines de semana)</t>
  </si>
  <si>
    <t xml:space="preserve">Días de atención por punto en el mes</t>
  </si>
  <si>
    <t xml:space="preserve">Brownies vendidos por día en cada punto (meta: 80 o más)</t>
  </si>
  <si>
    <t xml:space="preserve">Ferias pagadas en el mes (campaña escolar en febrero y Día del Niño en abril)</t>
  </si>
  <si>
    <t xml:space="preserve">Eventos sin costo (kermeses, cumpleaños, ferias saludables y municipales)</t>
  </si>
  <si>
    <t xml:space="preserve">Unidades a colegios (quiosco; año escolar de marzo a mediados de diciembre)</t>
  </si>
  <si>
    <t xml:space="preserve">Unidades a tiendas naturistas</t>
  </si>
  <si>
    <t xml:space="preserve">Unidades vendidas por canal</t>
  </si>
  <si>
    <t xml:space="preserve">Total unidades</t>
  </si>
  <si>
    <t xml:space="preserve">Producción que hay que pedir a la planta</t>
  </si>
  <si>
    <t xml:space="preserve">Unidades individuales sueltas</t>
  </si>
  <si>
    <t xml:space="preserve">Unidades que van en packs de 6</t>
  </si>
  <si>
    <t xml:space="preserve">Unidades que van en packs de 12</t>
  </si>
  <si>
    <t xml:space="preserve">Packs de 6 a armar</t>
  </si>
  <si>
    <t xml:space="preserve">Packs de 12 a armar</t>
  </si>
  <si>
    <t xml:space="preserve">Resultado mensual (S/ sin IGV, salvo la primera fila)</t>
  </si>
  <si>
    <t xml:space="preserve">Contribución con pack de 6 opción B</t>
  </si>
  <si>
    <t xml:space="preserve">Contribución con pack de 6 opción C</t>
  </si>
  <si>
    <t xml:space="preserve">Espacio para stands y carrito</t>
  </si>
  <si>
    <t xml:space="preserve">Vendedores de stand (por día de atención)</t>
  </si>
  <si>
    <t xml:space="preserve">Ferias pagadas (stand y vendedor(a) los días de la feria)</t>
  </si>
  <si>
    <t xml:space="preserve">Eventos sin costo (vendedor(a) 1 día y aporte al organizador)</t>
  </si>
  <si>
    <t xml:space="preserve">Costos fijos del mes</t>
  </si>
  <si>
    <t xml:space="preserve">Resultado operativo — opción B</t>
  </si>
  <si>
    <t xml:space="preserve">Resultado operativo — opción C</t>
  </si>
  <si>
    <t xml:space="preserve">Resultado acumulado — opción B</t>
  </si>
  <si>
    <t xml:space="preserve">Resultado acumulado — opción C</t>
  </si>
  <si>
    <t xml:space="preserve">Cuota del préstamo</t>
  </si>
  <si>
    <t xml:space="preserve">Depreciación (no sale de caja)</t>
  </si>
  <si>
    <t xml:space="preserve">Caja al cierre del mes (capital de trabajo y lo que sobra de la inversión, más el resultado, más la depreciación, menos la cuota)</t>
  </si>
  <si>
    <t xml:space="preserve">La contribución multiplica las unidades de cada canal por la contribución por unidad de ese canal (hoja Proyeccion, tabla 2). Después se restan el espacio de los stands, los vendedores, las ferias pagadas, los eventos sin costo y los costos fijos. No incluye intereses del préstamo ni el impuesto a la renta anual.</t>
  </si>
  <si>
    <t xml:space="preserve">Proyección del año 2 (enero a diciembre de 2028): los 3 puntos de venta todo el año</t>
  </si>
  <si>
    <t xml:space="preserve">Mismos precios, costos y mezcla que el año 1 (contribución por unidad de la hoja Proyeccion). No cuenta las mejoras que se activan solo si se cumplen sus reglas (4.º punto, maquila más barata, contrato anual del polvo): es un escenario prudente.</t>
  </si>
  <si>
    <t xml:space="preserve">M13 Ene-28</t>
  </si>
  <si>
    <t xml:space="preserve">M14 Feb-28</t>
  </si>
  <si>
    <t xml:space="preserve">M15 Mar-28</t>
  </si>
  <si>
    <t xml:space="preserve">M16 Abr-28</t>
  </si>
  <si>
    <t xml:space="preserve">M17 May-28</t>
  </si>
  <si>
    <t xml:space="preserve">M18 Jun-28</t>
  </si>
  <si>
    <t xml:space="preserve">M19 Jul-28</t>
  </si>
  <si>
    <t xml:space="preserve">M20 Ago-28</t>
  </si>
  <si>
    <t xml:space="preserve">M21 Set-28</t>
  </si>
  <si>
    <t xml:space="preserve">M22 Oct-28</t>
  </si>
  <si>
    <t xml:space="preserve">M23 Nov-28</t>
  </si>
  <si>
    <t xml:space="preserve">M24 Dic-28</t>
  </si>
  <si>
    <t xml:space="preserve">Total año 2</t>
  </si>
  <si>
    <t xml:space="preserve">Brownies vendidos por día en cada punto (ritmo de fin del año 1)</t>
  </si>
  <si>
    <t xml:space="preserve">Ferias pagadas en el mes (campaña escolar y Día del Niño)</t>
  </si>
  <si>
    <t xml:space="preserve">Unidades a colegios (quiosco; año escolar completo)</t>
  </si>
  <si>
    <t xml:space="preserve">Resultado mensual del año 2 (S/ sin IGV, salvo la primera fila; pack de 6 opción B)</t>
  </si>
  <si>
    <t xml:space="preserve">Contribución</t>
  </si>
  <si>
    <t xml:space="preserve">Vendedores de stand</t>
  </si>
  <si>
    <t xml:space="preserve">Ferias pagadas</t>
  </si>
  <si>
    <t xml:space="preserve">Eventos sin costo</t>
  </si>
  <si>
    <t xml:space="preserve">Resultado acumulado desde enero de 2027</t>
  </si>
  <si>
    <t xml:space="preserve">Caja al cierre del mes</t>
  </si>
  <si>
    <t xml:space="preserve">De resultado operativo a utilidad neta (año 2)</t>
  </si>
  <si>
    <t xml:space="preserve">Menos: intereses del préstamo en el año 2</t>
  </si>
</sst>
</file>

<file path=xl/styles.xml><?xml version="1.0" encoding="utf-8"?>
<styleSheet xmlns="http://schemas.openxmlformats.org/spreadsheetml/2006/main">
  <numFmts count="8">
    <numFmt numFmtId="164" formatCode="General"/>
    <numFmt numFmtId="165" formatCode="&quot;S/ &quot;#,##0.00;&quot;(S/ &quot;#,##0.00\);\-"/>
    <numFmt numFmtId="166" formatCode="0.0%;\(0.0%\);\-"/>
    <numFmt numFmtId="167" formatCode="#,##0;\(#,##0\);\-"/>
    <numFmt numFmtId="168" formatCode="&quot;S/ &quot;#,##0;&quot;(S/ &quot;#,##0\);\-"/>
    <numFmt numFmtId="169" formatCode="0"/>
    <numFmt numFmtId="170" formatCode="0.000"/>
    <numFmt numFmtId="171" formatCode="0.00"/>
  </numFmts>
  <fonts count="12">
    <font>
      <sz val="11"/>
      <color theme="1"/>
      <name val="Calibri"/>
      <family val="2"/>
      <charset val="1"/>
    </font>
    <font>
      <sz val="10"/>
      <name val="Arial"/>
      <family val="0"/>
    </font>
    <font>
      <sz val="10"/>
      <name val="Arial"/>
      <family val="0"/>
    </font>
    <font>
      <sz val="10"/>
      <name val="Arial"/>
      <family val="0"/>
    </font>
    <font>
      <b val="true"/>
      <sz val="14"/>
      <color rgb="FF5C301E"/>
      <name val="Arial"/>
      <family val="0"/>
      <charset val="1"/>
    </font>
    <font>
      <sz val="10"/>
      <color rgb="FF000000"/>
      <name val="Arial"/>
      <family val="0"/>
      <charset val="1"/>
    </font>
    <font>
      <b val="true"/>
      <sz val="10"/>
      <color rgb="FF000000"/>
      <name val="Arial"/>
      <family val="0"/>
      <charset val="1"/>
    </font>
    <font>
      <b val="true"/>
      <sz val="11"/>
      <color rgb="FFFFFFFF"/>
      <name val="Arial"/>
      <family val="0"/>
      <charset val="1"/>
    </font>
    <font>
      <sz val="10"/>
      <color rgb="FF008000"/>
      <name val="Arial"/>
      <family val="0"/>
      <charset val="1"/>
    </font>
    <font>
      <b val="true"/>
      <sz val="10"/>
      <color rgb="FF008000"/>
      <name val="Arial"/>
      <family val="0"/>
      <charset val="1"/>
    </font>
    <font>
      <b val="true"/>
      <sz val="11"/>
      <color rgb="FF5C301E"/>
      <name val="Arial"/>
      <family val="0"/>
      <charset val="1"/>
    </font>
    <font>
      <sz val="10"/>
      <color rgb="FF0000FF"/>
      <name val="Arial"/>
      <family val="0"/>
      <charset val="1"/>
    </font>
  </fonts>
  <fills count="6">
    <fill>
      <patternFill patternType="none"/>
    </fill>
    <fill>
      <patternFill patternType="gray125"/>
    </fill>
    <fill>
      <patternFill patternType="solid">
        <fgColor rgb="FF8B1E2B"/>
        <bgColor rgb="FF993366"/>
      </patternFill>
    </fill>
    <fill>
      <patternFill patternType="solid">
        <fgColor rgb="FFF7ECDA"/>
        <bgColor rgb="FFFFFFFF"/>
      </patternFill>
    </fill>
    <fill>
      <patternFill patternType="solid">
        <fgColor rgb="FFE8CDB3"/>
        <bgColor rgb="FFBFBFBF"/>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8" fontId="6" fillId="3"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7" fontId="9" fillId="3"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9" fontId="9" fillId="3" borderId="0" xfId="0" applyFont="true" applyBorder="false" applyAlignment="false" applyProtection="false">
      <alignment horizontal="general" vertical="bottom" textRotation="0" wrapText="false" indent="0" shrinkToFit="false"/>
      <protection locked="true" hidden="false"/>
    </xf>
    <xf numFmtId="169" fontId="6" fillId="3" borderId="0" xfId="0" applyFont="true" applyBorder="false" applyAlignment="false" applyProtection="false">
      <alignment horizontal="general" vertical="bottom" textRotation="0" wrapText="false" indent="0" shrinkToFit="false"/>
      <protection locked="true" hidden="false"/>
    </xf>
    <xf numFmtId="168" fontId="9" fillId="3" borderId="0" xfId="0" applyFont="true" applyBorder="false" applyAlignment="false" applyProtection="false">
      <alignment horizontal="general" vertical="bottom" textRotation="0" wrapText="false" indent="0" shrinkToFit="false"/>
      <protection locked="true" hidden="false"/>
    </xf>
    <xf numFmtId="164" fontId="10"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70" fontId="11" fillId="0" borderId="0" xfId="0" applyFont="true" applyBorder="false" applyAlignment="false" applyProtection="false">
      <alignment horizontal="general" vertical="bottom" textRotation="0" wrapText="false" indent="0" shrinkToFit="false"/>
      <protection locked="true" hidden="false"/>
    </xf>
    <xf numFmtId="170" fontId="11" fillId="5" borderId="0" xfId="0" applyFont="true" applyBorder="false" applyAlignment="false" applyProtection="false">
      <alignment horizontal="general"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71" fontId="11" fillId="0" borderId="0" xfId="0" applyFont="true" applyBorder="false" applyAlignment="false" applyProtection="false">
      <alignment horizontal="general" vertical="bottom" textRotation="0" wrapText="false" indent="0" shrinkToFit="false"/>
      <protection locked="true" hidden="false"/>
    </xf>
    <xf numFmtId="171" fontId="11" fillId="5" borderId="0" xfId="0" applyFont="true" applyBorder="false" applyAlignment="false" applyProtection="false">
      <alignment horizontal="general" vertical="bottom" textRotation="0" wrapText="false" indent="0" shrinkToFit="false"/>
      <protection locked="true" hidden="false"/>
    </xf>
    <xf numFmtId="169" fontId="11"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6" fontId="11" fillId="5" borderId="0" xfId="0" applyFont="true" applyBorder="false" applyAlignment="false" applyProtection="false">
      <alignment horizontal="general" vertical="bottom" textRotation="0" wrapText="false" indent="0" shrinkToFit="false"/>
      <protection locked="true" hidden="false"/>
    </xf>
    <xf numFmtId="167" fontId="11" fillId="5"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5" fontId="6" fillId="3"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67" fontId="6"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11" fillId="5"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7ECDA"/>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E8CDB3"/>
      <rgbColor rgb="FF3366FF"/>
      <rgbColor rgb="FF33CCCC"/>
      <rgbColor rgb="FF99CC00"/>
      <rgbColor rgb="FFFFCC00"/>
      <rgbColor rgb="FFFF9900"/>
      <rgbColor rgb="FFFF6600"/>
      <rgbColor rgb="FF666699"/>
      <rgbColor rgb="FF969696"/>
      <rgbColor rgb="FF003366"/>
      <rgbColor rgb="FF339966"/>
      <rgbColor rgb="FF003300"/>
      <rgbColor rgb="FF333300"/>
      <rgbColor rgb="FF8B1E2B"/>
      <rgbColor rgb="FF993366"/>
      <rgbColor rgb="FF333399"/>
      <rgbColor rgb="FF5C301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7.35" hidden="false" customHeight="false" outlineLevel="0" collapsed="false">
      <c r="A1" s="1" t="s">
        <v>0</v>
      </c>
    </row>
    <row r="3" customFormat="false" ht="35.05" hidden="false" customHeight="false" outlineLevel="0" collapsed="false">
      <c r="A3" s="2" t="s">
        <v>1</v>
      </c>
    </row>
    <row r="4" customFormat="false" ht="15" hidden="false" customHeight="false" outlineLevel="0" collapsed="false">
      <c r="A4" s="2"/>
    </row>
    <row r="5" customFormat="false" ht="15" hidden="false" customHeight="false" outlineLevel="0" collapsed="false">
      <c r="A5" s="3" t="s">
        <v>2</v>
      </c>
    </row>
    <row r="6" customFormat="false" ht="15" hidden="false" customHeight="false" outlineLevel="0" collapsed="false">
      <c r="A6" s="2" t="s">
        <v>3</v>
      </c>
    </row>
    <row r="7" customFormat="false" ht="15" hidden="false" customHeight="false" outlineLevel="0" collapsed="false">
      <c r="A7" s="2" t="s">
        <v>4</v>
      </c>
    </row>
    <row r="8" customFormat="false" ht="15" hidden="false" customHeight="false" outlineLevel="0" collapsed="false">
      <c r="A8" s="2" t="s">
        <v>5</v>
      </c>
    </row>
    <row r="9" customFormat="false" ht="15" hidden="false" customHeight="false" outlineLevel="0" collapsed="false">
      <c r="A9" s="2"/>
    </row>
    <row r="10" customFormat="false" ht="15" hidden="false" customHeight="false" outlineLevel="0" collapsed="false">
      <c r="A10" s="3" t="s">
        <v>6</v>
      </c>
    </row>
    <row r="11" customFormat="false" ht="15" hidden="false" customHeight="false" outlineLevel="0" collapsed="false">
      <c r="A11" s="2" t="s">
        <v>7</v>
      </c>
    </row>
    <row r="12" customFormat="false" ht="15" hidden="false" customHeight="false" outlineLevel="0" collapsed="false">
      <c r="A12" s="2" t="s">
        <v>8</v>
      </c>
    </row>
    <row r="13" customFormat="false" ht="15" hidden="false" customHeight="false" outlineLevel="0" collapsed="false">
      <c r="A13" s="2" t="s">
        <v>9</v>
      </c>
    </row>
    <row r="14" customFormat="false" ht="15" hidden="false" customHeight="false" outlineLevel="0" collapsed="false">
      <c r="A14" s="2" t="s">
        <v>10</v>
      </c>
    </row>
    <row r="15" customFormat="false" ht="15" hidden="false" customHeight="false" outlineLevel="0" collapsed="false">
      <c r="A15" s="2" t="s">
        <v>11</v>
      </c>
    </row>
    <row r="16" customFormat="false" ht="23.85" hidden="false" customHeight="false" outlineLevel="0" collapsed="false">
      <c r="A16" s="2" t="s">
        <v>12</v>
      </c>
    </row>
    <row r="17" customFormat="false" ht="15" hidden="false" customHeight="false" outlineLevel="0" collapsed="false">
      <c r="A17" s="2" t="s">
        <v>13</v>
      </c>
    </row>
    <row r="18" customFormat="false" ht="15" hidden="false" customHeight="false" outlineLevel="0" collapsed="false">
      <c r="A18" s="2"/>
    </row>
    <row r="19" customFormat="false" ht="15" hidden="false" customHeight="false" outlineLevel="0" collapsed="false">
      <c r="A19" s="3" t="s">
        <v>14</v>
      </c>
    </row>
    <row r="20" customFormat="false" ht="23.85" hidden="false" customHeight="false" outlineLevel="0" collapsed="false">
      <c r="A20" s="2" t="s">
        <v>15</v>
      </c>
    </row>
    <row r="21" customFormat="false" ht="23.85" hidden="false" customHeight="false" outlineLevel="0" collapsed="false">
      <c r="A21" s="2" t="s">
        <v>16</v>
      </c>
    </row>
    <row r="22" customFormat="false" ht="15" hidden="false" customHeight="false" outlineLevel="0" collapsed="false">
      <c r="A22" s="2" t="s">
        <v>17</v>
      </c>
    </row>
    <row r="23" customFormat="false" ht="15" hidden="false" customHeight="false" outlineLevel="0" collapsed="false">
      <c r="A23" s="2" t="s">
        <v>18</v>
      </c>
    </row>
    <row r="24" customFormat="false" ht="23.85" hidden="false" customHeight="false" outlineLevel="0" collapsed="false">
      <c r="A24" s="2" t="s">
        <v>19</v>
      </c>
    </row>
    <row r="25" customFormat="false" ht="15" hidden="false" customHeight="false" outlineLevel="0" collapsed="false">
      <c r="A25" s="2" t="s">
        <v>20</v>
      </c>
    </row>
    <row r="26" customFormat="false" ht="15" hidden="false" customHeight="false" outlineLevel="0" collapsed="false">
      <c r="A26" s="2"/>
    </row>
    <row r="27" customFormat="false" ht="23.85" hidden="false" customHeight="false" outlineLevel="0" collapsed="false">
      <c r="A27" s="2" t="s">
        <v>21</v>
      </c>
    </row>
    <row r="28" customFormat="false" ht="15" hidden="false" customHeight="false" outlineLevel="0" collapsed="false">
      <c r="A28" s="2"/>
    </row>
    <row r="29" customFormat="false" ht="35.05" hidden="false" customHeight="false" outlineLevel="0" collapsed="false">
      <c r="A29" s="2" t="s">
        <v>22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0"/>
    <col collapsed="false" customWidth="true" hidden="false" outlineLevel="0" max="7" min="2" style="0" width="20"/>
  </cols>
  <sheetData>
    <row r="1" customFormat="false" ht="17.35" hidden="false" customHeight="false" outlineLevel="0" collapsed="false">
      <c r="A1" s="1" t="s">
        <v>23</v>
      </c>
    </row>
    <row r="2" customFormat="false" ht="15" hidden="false" customHeight="false" outlineLevel="0" collapsed="false">
      <c r="A2" s="4" t="s">
        <v>24</v>
      </c>
    </row>
    <row r="4" customFormat="false" ht="42" hidden="false" customHeight="true" outlineLevel="0" collapsed="false">
      <c r="A4" s="5" t="s">
        <v>25</v>
      </c>
      <c r="B4" s="5" t="s">
        <v>26</v>
      </c>
      <c r="C4" s="5" t="s">
        <v>27</v>
      </c>
      <c r="D4" s="5" t="s">
        <v>28</v>
      </c>
      <c r="E4" s="5" t="s">
        <v>29</v>
      </c>
      <c r="F4" s="5" t="s">
        <v>30</v>
      </c>
      <c r="G4" s="5" t="s">
        <v>31</v>
      </c>
    </row>
    <row r="5" customFormat="false" ht="15" hidden="false" customHeight="false" outlineLevel="0" collapsed="false">
      <c r="A5" s="4" t="s">
        <v>32</v>
      </c>
      <c r="B5" s="6" t="n">
        <f aca="false">Costeo!B15</f>
        <v>1.72048863636364</v>
      </c>
      <c r="C5" s="6" t="n">
        <f aca="false">Costeo!B16</f>
        <v>1.72048863636364</v>
      </c>
      <c r="D5" s="6" t="n">
        <f aca="false">Costeo!B19</f>
        <v>6</v>
      </c>
      <c r="E5" s="7" t="n">
        <f aca="false">Costeo!B22</f>
        <v>0.661637234848485</v>
      </c>
      <c r="F5" s="6" t="n">
        <f aca="false">Costeo!B25</f>
        <v>0</v>
      </c>
      <c r="G5" s="7" t="n">
        <f aca="false">Costeo!B28</f>
        <v>0</v>
      </c>
    </row>
    <row r="6" customFormat="false" ht="15" hidden="false" customHeight="false" outlineLevel="0" collapsed="false">
      <c r="A6" s="4" t="s">
        <v>33</v>
      </c>
      <c r="B6" s="6" t="n">
        <f aca="false">Costeo!C15</f>
        <v>9.85043181818182</v>
      </c>
      <c r="C6" s="6" t="n">
        <f aca="false">Costeo!C16</f>
        <v>1.64173863636364</v>
      </c>
      <c r="D6" s="6" t="n">
        <f aca="false">Costeo!C19</f>
        <v>27.9</v>
      </c>
      <c r="E6" s="7" t="n">
        <f aca="false">Costeo!C22</f>
        <v>0.583386754643206</v>
      </c>
      <c r="F6" s="6" t="n">
        <f aca="false">Costeo!C25</f>
        <v>26.9</v>
      </c>
      <c r="G6" s="7" t="n">
        <f aca="false">Costeo!C28</f>
        <v>0.567899273403177</v>
      </c>
    </row>
    <row r="7" customFormat="false" ht="15" hidden="false" customHeight="false" outlineLevel="0" collapsed="false">
      <c r="A7" s="4" t="s">
        <v>34</v>
      </c>
      <c r="B7" s="6" t="n">
        <f aca="false">Costeo!D15</f>
        <v>9.34643181818182</v>
      </c>
      <c r="C7" s="6" t="n">
        <f aca="false">Costeo!D16</f>
        <v>1.55773863636364</v>
      </c>
      <c r="D7" s="6" t="n">
        <f aca="false">Costeo!D19</f>
        <v>27.9</v>
      </c>
      <c r="E7" s="7" t="n">
        <f aca="false">Costeo!D22</f>
        <v>0.604702883675464</v>
      </c>
      <c r="F7" s="6" t="n">
        <f aca="false">Costeo!D25</f>
        <v>26.9</v>
      </c>
      <c r="G7" s="7" t="n">
        <f aca="false">Costeo!D28</f>
        <v>0.59000782358905</v>
      </c>
    </row>
    <row r="8" customFormat="false" ht="15" hidden="false" customHeight="false" outlineLevel="0" collapsed="false">
      <c r="A8" s="4" t="s">
        <v>35</v>
      </c>
      <c r="B8" s="6" t="n">
        <f aca="false">Costeo!E15</f>
        <v>18.5248636363636</v>
      </c>
      <c r="C8" s="6" t="n">
        <f aca="false">Costeo!E16</f>
        <v>1.54373863636364</v>
      </c>
      <c r="D8" s="6" t="n">
        <f aca="false">Costeo!E19</f>
        <v>51.9</v>
      </c>
      <c r="E8" s="7" t="n">
        <f aca="false">Costeo!E22</f>
        <v>0.578818129269574</v>
      </c>
      <c r="F8" s="6" t="n">
        <f aca="false">Costeo!E25</f>
        <v>49.9</v>
      </c>
      <c r="G8" s="7" t="n">
        <f aca="false">Costeo!E28</f>
        <v>0.561937092366551</v>
      </c>
    </row>
    <row r="9" customFormat="false" ht="15" hidden="false" customHeight="false" outlineLevel="0" collapsed="false">
      <c r="A9" s="4" t="s">
        <v>36</v>
      </c>
      <c r="B9" s="6" t="n">
        <f aca="false">Costeo!F15</f>
        <v>5.02496590909091</v>
      </c>
      <c r="C9" s="6" t="n">
        <f aca="false">Costeo!F16</f>
        <v>1.67498863636364</v>
      </c>
      <c r="D9" s="6" t="n">
        <f aca="false">Costeo!F19</f>
        <v>16.5</v>
      </c>
      <c r="E9" s="7" t="n">
        <f aca="false">Costeo!F22</f>
        <v>0.640638801652893</v>
      </c>
      <c r="F9" s="6" t="n">
        <f aca="false">Costeo!F25</f>
        <v>12</v>
      </c>
      <c r="G9" s="7" t="n">
        <f aca="false">Costeo!F28</f>
        <v>0.505878352272727</v>
      </c>
    </row>
    <row r="11" customFormat="false" ht="15" hidden="false" customHeight="false" outlineLevel="0" collapsed="false">
      <c r="A11" s="5" t="s">
        <v>37</v>
      </c>
      <c r="B11" s="5" t="s">
        <v>38</v>
      </c>
      <c r="C11" s="5" t="s">
        <v>39</v>
      </c>
      <c r="D11" s="5"/>
      <c r="E11" s="5"/>
    </row>
    <row r="12" customFormat="false" ht="15" hidden="false" customHeight="false" outlineLevel="0" collapsed="false">
      <c r="A12" s="4" t="s">
        <v>40</v>
      </c>
      <c r="B12" s="8" t="n">
        <f aca="false">Proyeccion!F25</f>
        <v>52331</v>
      </c>
      <c r="C12" s="8" t="n">
        <f aca="false">Proyeccion!F25</f>
        <v>52331</v>
      </c>
    </row>
    <row r="13" customFormat="false" ht="15" hidden="false" customHeight="false" outlineLevel="0" collapsed="false">
      <c r="A13" s="4" t="s">
        <v>41</v>
      </c>
      <c r="B13" s="9" t="n">
        <f aca="false">Proyeccion!I25</f>
        <v>244728.18125</v>
      </c>
      <c r="C13" s="9" t="n">
        <f aca="false">Proyeccion!I25</f>
        <v>244728.18125</v>
      </c>
    </row>
    <row r="14" customFormat="false" ht="15" hidden="false" customHeight="false" outlineLevel="0" collapsed="false">
      <c r="A14" s="4" t="s">
        <v>42</v>
      </c>
      <c r="B14" s="9" t="n">
        <f aca="false">Proyeccion!J25</f>
        <v>207396.763771186</v>
      </c>
      <c r="C14" s="9" t="n">
        <f aca="false">Proyeccion!J25</f>
        <v>207396.763771186</v>
      </c>
    </row>
    <row r="15" customFormat="false" ht="15" hidden="false" customHeight="false" outlineLevel="0" collapsed="false">
      <c r="A15" s="4" t="s">
        <v>43</v>
      </c>
      <c r="B15" s="9" t="n">
        <f aca="false">Proyeccion!P25</f>
        <v>97293.7449414291</v>
      </c>
      <c r="C15" s="9" t="n">
        <f aca="false">Proyeccion!Q25</f>
        <v>98932.6983414291</v>
      </c>
    </row>
    <row r="16" customFormat="false" ht="15" hidden="false" customHeight="false" outlineLevel="0" collapsed="false">
      <c r="A16" s="4" t="s">
        <v>44</v>
      </c>
      <c r="B16" s="9" t="n">
        <f aca="false">SUM(Mensual!N33:N36)</f>
        <v>51010</v>
      </c>
      <c r="C16" s="9" t="n">
        <f aca="false">SUM(Mensual!N33:N36)</f>
        <v>51010</v>
      </c>
    </row>
    <row r="17" customFormat="false" ht="15" hidden="false" customHeight="false" outlineLevel="0" collapsed="false">
      <c r="A17" s="4" t="s">
        <v>45</v>
      </c>
      <c r="B17" s="9" t="n">
        <f aca="false">Supuestos!B75*12</f>
        <v>32860.6666666667</v>
      </c>
      <c r="C17" s="9" t="n">
        <f aca="false">Supuestos!B75*12</f>
        <v>32860.6666666667</v>
      </c>
    </row>
    <row r="18" customFormat="false" ht="15" hidden="false" customHeight="false" outlineLevel="0" collapsed="false">
      <c r="A18" s="10" t="s">
        <v>46</v>
      </c>
      <c r="B18" s="11" t="n">
        <f aca="false">B15-B16-B17</f>
        <v>13423.0782747625</v>
      </c>
      <c r="C18" s="11" t="n">
        <f aca="false">C15-C16-C17</f>
        <v>15062.0316747625</v>
      </c>
    </row>
    <row r="19" customFormat="false" ht="15" hidden="false" customHeight="false" outlineLevel="0" collapsed="false">
      <c r="A19" s="4" t="s">
        <v>47</v>
      </c>
      <c r="B19" s="12" t="n">
        <f aca="false">IF(B14=0,0,B18/B14)</f>
        <v>0.0647217344701274</v>
      </c>
      <c r="C19" s="12" t="n">
        <f aca="false">IF(C14=0,0,C18/C14)</f>
        <v>0.0726242367570397</v>
      </c>
    </row>
    <row r="20" customFormat="false" ht="15" hidden="false" customHeight="false" outlineLevel="0" collapsed="false">
      <c r="A20" s="4" t="s">
        <v>48</v>
      </c>
      <c r="B20" s="13" t="n">
        <f aca="false">IF(B12=0,0,(B15-B16)/B12)</f>
        <v>0.884442203310259</v>
      </c>
      <c r="C20" s="13" t="n">
        <f aca="false">IF(C12=0,0,(C15-C16)/C12)</f>
        <v>0.9157611805895</v>
      </c>
    </row>
    <row r="21" customFormat="false" ht="15" hidden="false" customHeight="false" outlineLevel="0" collapsed="false">
      <c r="A21" s="10" t="s">
        <v>49</v>
      </c>
      <c r="B21" s="14" t="n">
        <f aca="false">IF(B20&lt;=0,"No alcanza",Supuestos!$B$75/B20)</f>
        <v>3096.17618725084</v>
      </c>
      <c r="C21" s="14" t="n">
        <f aca="false">IF(C20&lt;=0,"No alcanza",Supuestos!$B$75/C20)</f>
        <v>2990.2871479288</v>
      </c>
    </row>
    <row r="22" customFormat="false" ht="15" hidden="false" customHeight="false" outlineLevel="0" collapsed="false">
      <c r="A22" s="4" t="s">
        <v>50</v>
      </c>
      <c r="B22" s="15" t="n">
        <f aca="false">IF(ISNUMBER(B21),B21/6,"No alcanza")</f>
        <v>516.029364541807</v>
      </c>
      <c r="C22" s="15" t="n">
        <f aca="false">IF(ISNUMBER(C21),C21/6,"No alcanza")</f>
        <v>498.381191321467</v>
      </c>
    </row>
    <row r="23" customFormat="false" ht="15" hidden="false" customHeight="false" outlineLevel="0" collapsed="false">
      <c r="A23" s="4" t="s">
        <v>51</v>
      </c>
      <c r="B23" s="9" t="n">
        <f aca="false">Inversion!B42</f>
        <v>40875.681</v>
      </c>
      <c r="C23" s="9" t="n">
        <f aca="false">Inversion!B42</f>
        <v>40875.681</v>
      </c>
    </row>
    <row r="24" customFormat="false" ht="15" hidden="false" customHeight="false" outlineLevel="0" collapsed="false">
      <c r="A24" s="4" t="s">
        <v>52</v>
      </c>
      <c r="B24" s="16" t="n">
        <f aca="false">B18-B23</f>
        <v>-27452.6027252375</v>
      </c>
      <c r="C24" s="16" t="n">
        <f aca="false">C18-C23</f>
        <v>-25813.6493252375</v>
      </c>
    </row>
    <row r="25" customFormat="false" ht="15" hidden="false" customHeight="false" outlineLevel="0" collapsed="false">
      <c r="A25" s="4" t="s">
        <v>53</v>
      </c>
      <c r="B25" s="9" t="n">
        <f aca="false">MIN(Mensual!B44:M44)</f>
        <v>2545.14181826969</v>
      </c>
      <c r="C25" s="9" t="n">
        <f aca="false">MIN(Mensual!B44:M44)</f>
        <v>2545.14181826969</v>
      </c>
    </row>
    <row r="26" customFormat="false" ht="15" hidden="false" customHeight="false" outlineLevel="0" collapsed="false">
      <c r="A26" s="10" t="s">
        <v>54</v>
      </c>
      <c r="B26" s="17" t="n">
        <f aca="false">IF(B18&gt;=B23,"Dentro del año 1",IF(Anio2!M31&gt;=B23,12+COUNTIF(Anio2!B31:M31,"&lt;"&amp;B23)+1,ROUNDUP(24+(B23-Anio2!M31)/AVERAGE(Anio2!B30:M30),0)))</f>
        <v>23</v>
      </c>
      <c r="C26" s="18" t="s">
        <v>55</v>
      </c>
    </row>
    <row r="28" customFormat="false" ht="15" hidden="false" customHeight="false" outlineLevel="0" collapsed="false">
      <c r="A28" s="10" t="s">
        <v>56</v>
      </c>
    </row>
    <row r="29" customFormat="false" ht="15" hidden="false" customHeight="false" outlineLevel="0" collapsed="false">
      <c r="A29" s="4" t="s">
        <v>57</v>
      </c>
      <c r="B29" s="16" t="n">
        <f aca="false">B18</f>
        <v>13423.0782747625</v>
      </c>
    </row>
    <row r="30" customFormat="false" ht="15" hidden="false" customHeight="false" outlineLevel="0" collapsed="false">
      <c r="A30" s="4" t="s">
        <v>58</v>
      </c>
      <c r="B30" s="9" t="n">
        <f aca="false">Supuestos!B28*B14</f>
        <v>2073.96763771186</v>
      </c>
    </row>
    <row r="31" customFormat="false" ht="15" hidden="false" customHeight="false" outlineLevel="0" collapsed="false">
      <c r="A31" s="4" t="s">
        <v>59</v>
      </c>
      <c r="B31" s="9" t="n">
        <f aca="false">-CUMIPMT((1+Inversion!B48)^(1/12)-1,Inversion!B49,Inversion!B47,1,12,0)</f>
        <v>3965.22080531974</v>
      </c>
    </row>
    <row r="32" customFormat="false" ht="15" hidden="false" customHeight="false" outlineLevel="0" collapsed="false">
      <c r="A32" s="4" t="s">
        <v>60</v>
      </c>
      <c r="B32" s="16" t="n">
        <f aca="false">B29+B30-B31</f>
        <v>11531.8251071546</v>
      </c>
    </row>
    <row r="33" customFormat="false" ht="15" hidden="false" customHeight="false" outlineLevel="0" collapsed="false">
      <c r="A33" s="4" t="s">
        <v>61</v>
      </c>
      <c r="B33" s="16" t="n">
        <f aca="false">MAX(0,0.1*B32)</f>
        <v>1153.18251071546</v>
      </c>
    </row>
    <row r="34" customFormat="false" ht="15" hidden="false" customHeight="false" outlineLevel="0" collapsed="false">
      <c r="A34" s="10" t="s">
        <v>62</v>
      </c>
      <c r="B34" s="11" t="n">
        <f aca="false">B32-B33</f>
        <v>10378.6425964391</v>
      </c>
    </row>
    <row r="35" customFormat="false" ht="15" hidden="false" customHeight="false" outlineLevel="0" collapsed="false">
      <c r="A35" s="4" t="s">
        <v>63</v>
      </c>
      <c r="B35" s="7" t="n">
        <f aca="false">B34/Inversion!B46</f>
        <v>0.415145703857565</v>
      </c>
    </row>
    <row r="37" customFormat="false" ht="15" hidden="false" customHeight="false" outlineLevel="0" collapsed="false">
      <c r="A37" s="10" t="s">
        <v>64</v>
      </c>
    </row>
    <row r="38" customFormat="false" ht="15" hidden="false" customHeight="false" outlineLevel="0" collapsed="false">
      <c r="A38" s="4" t="s">
        <v>40</v>
      </c>
      <c r="B38" s="8" t="n">
        <f aca="false">Anio2!N19</f>
        <v>70452</v>
      </c>
    </row>
    <row r="39" customFormat="false" ht="15" hidden="false" customHeight="false" outlineLevel="0" collapsed="false">
      <c r="A39" s="4" t="s">
        <v>41</v>
      </c>
      <c r="B39" s="9" t="n">
        <f aca="false">Anio2!N22</f>
        <v>322328.8</v>
      </c>
    </row>
    <row r="40" customFormat="false" ht="15" hidden="false" customHeight="false" outlineLevel="0" collapsed="false">
      <c r="A40" s="10" t="s">
        <v>65</v>
      </c>
      <c r="B40" s="19" t="n">
        <f aca="false">Anio2!N30</f>
        <v>30458.6678242424</v>
      </c>
    </row>
    <row r="41" customFormat="false" ht="15" hidden="false" customHeight="false" outlineLevel="0" collapsed="false">
      <c r="A41" s="4" t="s">
        <v>47</v>
      </c>
      <c r="B41" s="7" t="n">
        <f aca="false">IF(Anio2!N23=0,0,Anio2!N30/Anio2!N23)</f>
        <v>0.11150486097614</v>
      </c>
    </row>
    <row r="42" customFormat="false" ht="15" hidden="false" customHeight="false" outlineLevel="0" collapsed="false">
      <c r="A42" s="10" t="s">
        <v>66</v>
      </c>
      <c r="B42" s="19" t="n">
        <f aca="false">Anio2!B42</f>
        <v>28447.2231680943</v>
      </c>
    </row>
    <row r="43" customFormat="false" ht="15" hidden="false" customHeight="false" outlineLevel="0" collapsed="false">
      <c r="A43" s="4" t="s">
        <v>67</v>
      </c>
      <c r="B43" s="7" t="n">
        <f aca="false">Anio2!B42/Inversion!B46</f>
        <v>1.13788892672377</v>
      </c>
    </row>
    <row r="44" customFormat="false" ht="15" hidden="false" customHeight="false" outlineLevel="0" collapsed="false">
      <c r="A44" s="4" t="s">
        <v>68</v>
      </c>
      <c r="B44" s="9" t="n">
        <f aca="false">Anio2!M34</f>
        <v>33683.935545103</v>
      </c>
    </row>
    <row r="46" customFormat="false" ht="15" hidden="false" customHeight="false" outlineLevel="0" collapsed="false">
      <c r="A46" s="10" t="s">
        <v>69</v>
      </c>
    </row>
    <row r="47" customFormat="false" ht="15" hidden="false" customHeight="false" outlineLevel="0" collapsed="false">
      <c r="A47" s="4" t="s">
        <v>70</v>
      </c>
    </row>
    <row r="48" customFormat="false" ht="15" hidden="false" customHeight="false" outlineLevel="0" collapsed="false">
      <c r="A48" s="4" t="s">
        <v>71</v>
      </c>
    </row>
    <row r="49" customFormat="false" ht="15" hidden="false" customHeight="false" outlineLevel="0" collapsed="false">
      <c r="A49" s="4" t="s">
        <v>72</v>
      </c>
    </row>
    <row r="50" customFormat="false" ht="15" hidden="false" customHeight="false" outlineLevel="0" collapsed="false">
      <c r="A50" s="4" t="s">
        <v>73</v>
      </c>
    </row>
    <row r="51" customFormat="false" ht="15" hidden="false" customHeight="false" outlineLevel="0" collapsed="false">
      <c r="A51" s="4" t="s">
        <v>74</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6"/>
    <col collapsed="false" customWidth="true" hidden="false" outlineLevel="0" max="2" min="2" style="0" width="16"/>
    <col collapsed="false" customWidth="true" hidden="false" outlineLevel="0" max="3" min="3" style="0" width="20"/>
    <col collapsed="false" customWidth="true" hidden="false" outlineLevel="0" max="4" min="4" style="0" width="90"/>
    <col collapsed="false" customWidth="true" hidden="false" outlineLevel="0" max="5" min="5" style="0" width="18"/>
    <col collapsed="false" customWidth="true" hidden="false" outlineLevel="0" max="6" min="6" style="0" width="60"/>
  </cols>
  <sheetData>
    <row r="1" customFormat="false" ht="17.35" hidden="false" customHeight="false" outlineLevel="0" collapsed="false">
      <c r="A1" s="1" t="s">
        <v>75</v>
      </c>
    </row>
    <row r="2" customFormat="false" ht="15" hidden="false" customHeight="false" outlineLevel="0" collapsed="false">
      <c r="A2" s="4" t="s">
        <v>76</v>
      </c>
    </row>
    <row r="4" customFormat="false" ht="15" hidden="false" customHeight="false" outlineLevel="0" collapsed="false">
      <c r="A4" s="20" t="s">
        <v>77</v>
      </c>
      <c r="B4" s="21"/>
      <c r="C4" s="21"/>
      <c r="D4" s="21"/>
    </row>
    <row r="5" customFormat="false" ht="15" hidden="false" customHeight="false" outlineLevel="0" collapsed="false">
      <c r="A5" s="5" t="s">
        <v>78</v>
      </c>
      <c r="B5" s="5" t="s">
        <v>79</v>
      </c>
      <c r="C5" s="5" t="s">
        <v>80</v>
      </c>
      <c r="D5" s="5" t="s">
        <v>81</v>
      </c>
    </row>
    <row r="6" customFormat="false" ht="15" hidden="false" customHeight="false" outlineLevel="0" collapsed="false">
      <c r="A6" s="4" t="s">
        <v>82</v>
      </c>
      <c r="B6" s="22" t="n">
        <v>0.605</v>
      </c>
      <c r="C6" s="4" t="s">
        <v>83</v>
      </c>
      <c r="D6" s="4" t="s">
        <v>84</v>
      </c>
    </row>
    <row r="7" customFormat="false" ht="15" hidden="false" customHeight="false" outlineLevel="0" collapsed="false">
      <c r="A7" s="4" t="s">
        <v>85</v>
      </c>
      <c r="B7" s="22" t="n">
        <v>0.45</v>
      </c>
      <c r="C7" s="4" t="s">
        <v>83</v>
      </c>
      <c r="D7" s="4" t="s">
        <v>86</v>
      </c>
    </row>
    <row r="8" customFormat="false" ht="15" hidden="false" customHeight="false" outlineLevel="0" collapsed="false">
      <c r="A8" s="4" t="s">
        <v>87</v>
      </c>
      <c r="B8" s="23" t="n">
        <v>0</v>
      </c>
      <c r="C8" s="4" t="s">
        <v>83</v>
      </c>
      <c r="D8" s="4" t="s">
        <v>88</v>
      </c>
    </row>
    <row r="9" customFormat="false" ht="15" hidden="false" customHeight="false" outlineLevel="0" collapsed="false">
      <c r="A9" s="4" t="s">
        <v>89</v>
      </c>
      <c r="B9" s="22" t="n">
        <v>0.09</v>
      </c>
      <c r="C9" s="4" t="s">
        <v>83</v>
      </c>
      <c r="D9" s="4" t="s">
        <v>90</v>
      </c>
    </row>
    <row r="10" customFormat="false" ht="15" hidden="false" customHeight="false" outlineLevel="0" collapsed="false">
      <c r="A10" s="4" t="s">
        <v>91</v>
      </c>
      <c r="B10" s="22" t="n">
        <v>0.29</v>
      </c>
      <c r="C10" s="4" t="s">
        <v>83</v>
      </c>
      <c r="D10" s="4" t="s">
        <v>92</v>
      </c>
    </row>
    <row r="11" customFormat="false" ht="15" hidden="false" customHeight="false" outlineLevel="0" collapsed="false">
      <c r="A11" s="4" t="s">
        <v>93</v>
      </c>
      <c r="B11" s="22" t="n">
        <v>0.01</v>
      </c>
      <c r="C11" s="4" t="s">
        <v>83</v>
      </c>
      <c r="D11" s="4" t="s">
        <v>94</v>
      </c>
    </row>
    <row r="12" customFormat="false" ht="15" hidden="false" customHeight="false" outlineLevel="0" collapsed="false">
      <c r="A12" s="4" t="s">
        <v>95</v>
      </c>
      <c r="B12" s="24" t="n">
        <f aca="false">(250*12+375*9)/(12*4400)</f>
        <v>0.120738636363636</v>
      </c>
      <c r="C12" s="4" t="s">
        <v>83</v>
      </c>
      <c r="D12" s="4" t="s">
        <v>96</v>
      </c>
    </row>
    <row r="13" customFormat="false" ht="15" hidden="false" customHeight="false" outlineLevel="0" collapsed="false">
      <c r="A13" s="4" t="s">
        <v>97</v>
      </c>
      <c r="B13" s="22" t="n">
        <v>0.053</v>
      </c>
      <c r="C13" s="4" t="s">
        <v>83</v>
      </c>
      <c r="D13" s="4" t="s">
        <v>98</v>
      </c>
    </row>
    <row r="14" customFormat="false" ht="15" hidden="false" customHeight="false" outlineLevel="0" collapsed="false">
      <c r="A14" s="4" t="s">
        <v>99</v>
      </c>
      <c r="B14" s="22" t="n">
        <v>0.04</v>
      </c>
      <c r="C14" s="4" t="s">
        <v>83</v>
      </c>
      <c r="D14" s="4" t="s">
        <v>100</v>
      </c>
    </row>
    <row r="15" customFormat="false" ht="15" hidden="false" customHeight="false" outlineLevel="0" collapsed="false">
      <c r="A15" s="4" t="s">
        <v>101</v>
      </c>
      <c r="B15" s="25" t="n">
        <v>0.05</v>
      </c>
      <c r="C15" s="4" t="s">
        <v>102</v>
      </c>
      <c r="D15" s="4" t="s">
        <v>103</v>
      </c>
    </row>
    <row r="17" customFormat="false" ht="15" hidden="false" customHeight="false" outlineLevel="0" collapsed="false">
      <c r="A17" s="20" t="s">
        <v>104</v>
      </c>
      <c r="B17" s="21"/>
      <c r="C17" s="21"/>
      <c r="D17" s="21"/>
    </row>
    <row r="18" customFormat="false" ht="15" hidden="false" customHeight="false" outlineLevel="0" collapsed="false">
      <c r="A18" s="5" t="s">
        <v>78</v>
      </c>
      <c r="B18" s="5" t="s">
        <v>79</v>
      </c>
      <c r="C18" s="5" t="s">
        <v>80</v>
      </c>
      <c r="D18" s="5" t="s">
        <v>81</v>
      </c>
    </row>
    <row r="19" customFormat="false" ht="15" hidden="false" customHeight="false" outlineLevel="0" collapsed="false">
      <c r="A19" s="4" t="s">
        <v>105</v>
      </c>
      <c r="B19" s="26" t="n">
        <v>0.53</v>
      </c>
      <c r="C19" s="4" t="s">
        <v>106</v>
      </c>
      <c r="D19" s="4" t="s">
        <v>107</v>
      </c>
    </row>
    <row r="20" customFormat="false" ht="15" hidden="false" customHeight="false" outlineLevel="0" collapsed="false">
      <c r="A20" s="4" t="s">
        <v>108</v>
      </c>
      <c r="B20" s="26" t="n">
        <v>0.76</v>
      </c>
      <c r="C20" s="4" t="s">
        <v>106</v>
      </c>
      <c r="D20" s="4" t="s">
        <v>109</v>
      </c>
    </row>
    <row r="21" customFormat="false" ht="15" hidden="false" customHeight="false" outlineLevel="0" collapsed="false">
      <c r="A21" s="4" t="s">
        <v>110</v>
      </c>
      <c r="B21" s="27" t="n">
        <v>0.7</v>
      </c>
      <c r="C21" s="4" t="s">
        <v>106</v>
      </c>
      <c r="D21" s="4" t="s">
        <v>111</v>
      </c>
    </row>
    <row r="22" customFormat="false" ht="15" hidden="false" customHeight="false" outlineLevel="0" collapsed="false">
      <c r="A22" s="4" t="s">
        <v>112</v>
      </c>
      <c r="B22" s="26" t="n">
        <v>0.76</v>
      </c>
      <c r="C22" s="4" t="s">
        <v>106</v>
      </c>
      <c r="D22" s="4" t="s">
        <v>113</v>
      </c>
    </row>
    <row r="23" customFormat="false" ht="15" hidden="false" customHeight="false" outlineLevel="0" collapsed="false">
      <c r="A23" s="4" t="s">
        <v>114</v>
      </c>
      <c r="B23" s="27" t="n">
        <v>0.45</v>
      </c>
      <c r="C23" s="4" t="s">
        <v>106</v>
      </c>
      <c r="D23" s="4" t="s">
        <v>115</v>
      </c>
    </row>
    <row r="24" customFormat="false" ht="15" hidden="false" customHeight="false" outlineLevel="0" collapsed="false">
      <c r="A24" s="20" t="s">
        <v>116</v>
      </c>
      <c r="B24" s="21"/>
      <c r="C24" s="21"/>
      <c r="D24" s="21"/>
    </row>
    <row r="25" customFormat="false" ht="15" hidden="false" customHeight="false" outlineLevel="0" collapsed="false">
      <c r="A25" s="5" t="s">
        <v>78</v>
      </c>
      <c r="B25" s="5" t="s">
        <v>79</v>
      </c>
      <c r="C25" s="5" t="s">
        <v>80</v>
      </c>
      <c r="D25" s="5" t="s">
        <v>81</v>
      </c>
    </row>
    <row r="26" customFormat="false" ht="15" hidden="false" customHeight="false" outlineLevel="0" collapsed="false">
      <c r="A26" s="4" t="s">
        <v>117</v>
      </c>
      <c r="B26" s="25" t="n">
        <v>0.18</v>
      </c>
      <c r="C26" s="4" t="s">
        <v>102</v>
      </c>
      <c r="D26" s="4" t="s">
        <v>118</v>
      </c>
    </row>
    <row r="27" customFormat="false" ht="15" hidden="false" customHeight="false" outlineLevel="0" collapsed="false">
      <c r="A27" s="4" t="s">
        <v>119</v>
      </c>
      <c r="B27" s="25" t="n">
        <v>0.03</v>
      </c>
      <c r="C27" s="4" t="s">
        <v>102</v>
      </c>
      <c r="D27" s="4" t="s">
        <v>120</v>
      </c>
    </row>
    <row r="28" customFormat="false" ht="15" hidden="false" customHeight="false" outlineLevel="0" collapsed="false">
      <c r="A28" s="4" t="s">
        <v>121</v>
      </c>
      <c r="B28" s="25" t="n">
        <v>0.01</v>
      </c>
      <c r="C28" s="4" t="s">
        <v>102</v>
      </c>
      <c r="D28" s="4" t="s">
        <v>122</v>
      </c>
    </row>
    <row r="30" customFormat="false" ht="15" hidden="false" customHeight="false" outlineLevel="0" collapsed="false">
      <c r="A30" s="20" t="s">
        <v>123</v>
      </c>
      <c r="B30" s="21"/>
      <c r="C30" s="21"/>
      <c r="D30" s="21"/>
    </row>
    <row r="31" customFormat="false" ht="26.85" hidden="false" customHeight="false" outlineLevel="0" collapsed="false">
      <c r="A31" s="5" t="s">
        <v>124</v>
      </c>
      <c r="B31" s="5" t="s">
        <v>125</v>
      </c>
      <c r="C31" s="5" t="s">
        <v>126</v>
      </c>
      <c r="D31" s="5" t="s">
        <v>127</v>
      </c>
    </row>
    <row r="32" customFormat="false" ht="15" hidden="false" customHeight="false" outlineLevel="0" collapsed="false">
      <c r="A32" s="4" t="s">
        <v>128</v>
      </c>
      <c r="B32" s="26" t="n">
        <v>0.27</v>
      </c>
      <c r="C32" s="28" t="n">
        <v>1</v>
      </c>
      <c r="D32" s="4" t="s">
        <v>129</v>
      </c>
    </row>
    <row r="33" customFormat="false" ht="15" hidden="false" customHeight="false" outlineLevel="0" collapsed="false">
      <c r="A33" s="4" t="s">
        <v>130</v>
      </c>
      <c r="B33" s="26" t="n">
        <v>0.27</v>
      </c>
      <c r="C33" s="28" t="n">
        <v>1</v>
      </c>
      <c r="D33" s="4" t="s">
        <v>131</v>
      </c>
    </row>
    <row r="34" customFormat="false" ht="15" hidden="false" customHeight="false" outlineLevel="0" collapsed="false">
      <c r="A34" s="4" t="s">
        <v>132</v>
      </c>
      <c r="B34" s="26" t="n">
        <v>0.5</v>
      </c>
      <c r="C34" s="28" t="n">
        <v>1</v>
      </c>
      <c r="D34" s="4" t="s">
        <v>133</v>
      </c>
    </row>
    <row r="35" customFormat="false" ht="15" hidden="false" customHeight="false" outlineLevel="0" collapsed="false">
      <c r="A35" s="4" t="s">
        <v>134</v>
      </c>
      <c r="B35" s="26" t="n">
        <v>0.1</v>
      </c>
      <c r="C35" s="28" t="n">
        <v>0</v>
      </c>
      <c r="D35" s="4" t="s">
        <v>135</v>
      </c>
    </row>
    <row r="36" customFormat="false" ht="15" hidden="false" customHeight="false" outlineLevel="0" collapsed="false">
      <c r="A36" s="4" t="s">
        <v>136</v>
      </c>
      <c r="B36" s="26" t="n">
        <v>0.15</v>
      </c>
      <c r="C36" s="28" t="n">
        <v>0</v>
      </c>
      <c r="D36" s="4" t="s">
        <v>137</v>
      </c>
    </row>
    <row r="38" customFormat="false" ht="15" hidden="false" customHeight="false" outlineLevel="0" collapsed="false">
      <c r="A38" s="20" t="s">
        <v>138</v>
      </c>
      <c r="B38" s="21"/>
      <c r="C38" s="21"/>
      <c r="D38" s="21"/>
      <c r="E38" s="21"/>
      <c r="F38" s="21"/>
    </row>
    <row r="39" customFormat="false" ht="26.85" hidden="false" customHeight="false" outlineLevel="0" collapsed="false">
      <c r="A39" s="5" t="s">
        <v>124</v>
      </c>
      <c r="B39" s="5" t="s">
        <v>32</v>
      </c>
      <c r="C39" s="5" t="s">
        <v>139</v>
      </c>
      <c r="D39" s="5" t="s">
        <v>35</v>
      </c>
      <c r="E39" s="5" t="s">
        <v>36</v>
      </c>
      <c r="F39" s="5" t="s">
        <v>127</v>
      </c>
    </row>
    <row r="40" customFormat="false" ht="15" hidden="false" customHeight="false" outlineLevel="0" collapsed="false">
      <c r="A40" s="4" t="s">
        <v>128</v>
      </c>
      <c r="B40" s="29" t="n">
        <v>6</v>
      </c>
      <c r="C40" s="29" t="n">
        <v>27.9</v>
      </c>
      <c r="D40" s="29" t="n">
        <v>51.9</v>
      </c>
      <c r="E40" s="29" t="n">
        <v>16.5</v>
      </c>
      <c r="F40" s="4" t="s">
        <v>140</v>
      </c>
    </row>
    <row r="41" customFormat="false" ht="15" hidden="false" customHeight="false" outlineLevel="0" collapsed="false">
      <c r="A41" s="4" t="s">
        <v>130</v>
      </c>
      <c r="B41" s="29" t="n">
        <v>6</v>
      </c>
      <c r="C41" s="29" t="n">
        <v>27.9</v>
      </c>
      <c r="D41" s="29" t="n">
        <v>51.9</v>
      </c>
      <c r="E41" s="29" t="n">
        <v>16.5</v>
      </c>
      <c r="F41" s="4" t="s">
        <v>141</v>
      </c>
    </row>
    <row r="42" customFormat="false" ht="15" hidden="false" customHeight="false" outlineLevel="0" collapsed="false">
      <c r="A42" s="4" t="s">
        <v>132</v>
      </c>
      <c r="B42" s="29" t="n">
        <v>0</v>
      </c>
      <c r="C42" s="29" t="n">
        <v>26.9</v>
      </c>
      <c r="D42" s="29" t="n">
        <v>49.9</v>
      </c>
      <c r="E42" s="29" t="n">
        <v>12</v>
      </c>
      <c r="F42" s="4" t="s">
        <v>142</v>
      </c>
    </row>
    <row r="43" customFormat="false" ht="15" hidden="false" customHeight="false" outlineLevel="0" collapsed="false">
      <c r="A43" s="4" t="s">
        <v>134</v>
      </c>
      <c r="B43" s="29" t="n">
        <v>3.2</v>
      </c>
      <c r="C43" s="29" t="n">
        <v>0</v>
      </c>
      <c r="D43" s="29" t="n">
        <v>0</v>
      </c>
      <c r="E43" s="29" t="n">
        <v>0</v>
      </c>
      <c r="F43" s="4" t="s">
        <v>143</v>
      </c>
    </row>
    <row r="44" customFormat="false" ht="15" hidden="false" customHeight="false" outlineLevel="0" collapsed="false">
      <c r="A44" s="4" t="s">
        <v>136</v>
      </c>
      <c r="B44" s="29" t="n">
        <v>0</v>
      </c>
      <c r="C44" s="29" t="n">
        <v>18.5</v>
      </c>
      <c r="D44" s="29" t="n">
        <v>0</v>
      </c>
      <c r="E44" s="29" t="n">
        <v>0</v>
      </c>
      <c r="F44" s="4" t="s">
        <v>144</v>
      </c>
    </row>
    <row r="46" customFormat="false" ht="15" hidden="false" customHeight="false" outlineLevel="0" collapsed="false">
      <c r="A46" s="20" t="s">
        <v>145</v>
      </c>
      <c r="B46" s="21"/>
      <c r="C46" s="21"/>
      <c r="D46" s="21"/>
      <c r="E46" s="21"/>
      <c r="F46" s="21"/>
    </row>
    <row r="47" customFormat="false" ht="26.85" hidden="false" customHeight="false" outlineLevel="0" collapsed="false">
      <c r="A47" s="5" t="s">
        <v>124</v>
      </c>
      <c r="B47" s="5" t="s">
        <v>32</v>
      </c>
      <c r="C47" s="5" t="s">
        <v>139</v>
      </c>
      <c r="D47" s="5" t="s">
        <v>35</v>
      </c>
      <c r="E47" s="5" t="s">
        <v>36</v>
      </c>
      <c r="F47" s="5" t="s">
        <v>146</v>
      </c>
    </row>
    <row r="48" customFormat="false" ht="15" hidden="false" customHeight="false" outlineLevel="0" collapsed="false">
      <c r="A48" s="4" t="s">
        <v>128</v>
      </c>
      <c r="B48" s="30" t="n">
        <v>0.5</v>
      </c>
      <c r="C48" s="30" t="n">
        <v>0.35</v>
      </c>
      <c r="D48" s="30" t="n">
        <v>0.05</v>
      </c>
      <c r="E48" s="30" t="n">
        <v>0.1</v>
      </c>
      <c r="F48" s="12" t="n">
        <f aca="false">SUM(B48:E48)</f>
        <v>1</v>
      </c>
    </row>
    <row r="49" customFormat="false" ht="15" hidden="false" customHeight="false" outlineLevel="0" collapsed="false">
      <c r="A49" s="4" t="s">
        <v>130</v>
      </c>
      <c r="B49" s="30" t="n">
        <v>0.6</v>
      </c>
      <c r="C49" s="30" t="n">
        <v>0.3</v>
      </c>
      <c r="D49" s="30" t="n">
        <v>0</v>
      </c>
      <c r="E49" s="30" t="n">
        <v>0.1</v>
      </c>
      <c r="F49" s="12" t="n">
        <f aca="false">SUM(B49:E49)</f>
        <v>1</v>
      </c>
    </row>
    <row r="50" customFormat="false" ht="15" hidden="false" customHeight="false" outlineLevel="0" collapsed="false">
      <c r="A50" s="4" t="s">
        <v>132</v>
      </c>
      <c r="B50" s="30" t="n">
        <v>0</v>
      </c>
      <c r="C50" s="30" t="n">
        <v>0.6</v>
      </c>
      <c r="D50" s="30" t="n">
        <v>0.3</v>
      </c>
      <c r="E50" s="30" t="n">
        <v>0.1</v>
      </c>
      <c r="F50" s="12" t="n">
        <f aca="false">SUM(B50:E50)</f>
        <v>1</v>
      </c>
    </row>
    <row r="51" customFormat="false" ht="15" hidden="false" customHeight="false" outlineLevel="0" collapsed="false">
      <c r="A51" s="4" t="s">
        <v>134</v>
      </c>
      <c r="B51" s="30" t="n">
        <v>1</v>
      </c>
      <c r="C51" s="30" t="n">
        <v>0</v>
      </c>
      <c r="D51" s="30" t="n">
        <v>0</v>
      </c>
      <c r="E51" s="30" t="n">
        <v>0</v>
      </c>
      <c r="F51" s="12" t="n">
        <f aca="false">SUM(B51:E51)</f>
        <v>1</v>
      </c>
    </row>
    <row r="52" customFormat="false" ht="15" hidden="false" customHeight="false" outlineLevel="0" collapsed="false">
      <c r="A52" s="4" t="s">
        <v>136</v>
      </c>
      <c r="B52" s="30" t="n">
        <v>0</v>
      </c>
      <c r="C52" s="30" t="n">
        <v>1</v>
      </c>
      <c r="D52" s="30" t="n">
        <v>0</v>
      </c>
      <c r="E52" s="30" t="n">
        <v>0</v>
      </c>
      <c r="F52" s="12" t="n">
        <f aca="false">SUM(B52:E52)</f>
        <v>1</v>
      </c>
    </row>
    <row r="53" customFormat="false" ht="15" hidden="false" customHeight="false" outlineLevel="0" collapsed="false">
      <c r="A53" s="4" t="s">
        <v>147</v>
      </c>
    </row>
    <row r="55" customFormat="false" ht="15" hidden="false" customHeight="false" outlineLevel="0" collapsed="false">
      <c r="A55" s="20" t="s">
        <v>148</v>
      </c>
      <c r="B55" s="21"/>
      <c r="C55" s="21"/>
      <c r="D55" s="21"/>
    </row>
    <row r="56" customFormat="false" ht="15" hidden="false" customHeight="false" outlineLevel="0" collapsed="false">
      <c r="A56" s="5" t="s">
        <v>78</v>
      </c>
      <c r="B56" s="5" t="s">
        <v>79</v>
      </c>
      <c r="C56" s="5" t="s">
        <v>80</v>
      </c>
      <c r="D56" s="5" t="s">
        <v>81</v>
      </c>
    </row>
    <row r="57" customFormat="false" ht="15" hidden="false" customHeight="false" outlineLevel="0" collapsed="false">
      <c r="A57" s="4" t="s">
        <v>149</v>
      </c>
      <c r="B57" s="29" t="n">
        <v>600</v>
      </c>
      <c r="C57" s="4" t="s">
        <v>150</v>
      </c>
      <c r="D57" s="4" t="s">
        <v>151</v>
      </c>
    </row>
    <row r="58" customFormat="false" ht="15" hidden="false" customHeight="false" outlineLevel="0" collapsed="false">
      <c r="A58" s="4" t="s">
        <v>152</v>
      </c>
      <c r="B58" s="29" t="n">
        <v>90</v>
      </c>
      <c r="C58" s="4" t="s">
        <v>153</v>
      </c>
      <c r="D58" s="4" t="s">
        <v>154</v>
      </c>
    </row>
    <row r="59" customFormat="false" ht="15" hidden="false" customHeight="false" outlineLevel="0" collapsed="false">
      <c r="A59" s="4" t="s">
        <v>155</v>
      </c>
      <c r="B59" s="28" t="n">
        <v>0</v>
      </c>
      <c r="C59" s="4" t="s">
        <v>156</v>
      </c>
      <c r="D59" s="4" t="s">
        <v>157</v>
      </c>
    </row>
    <row r="60" customFormat="false" ht="15" hidden="false" customHeight="false" outlineLevel="0" collapsed="false">
      <c r="A60" s="4" t="s">
        <v>158</v>
      </c>
      <c r="B60" s="29" t="n">
        <v>1800</v>
      </c>
      <c r="C60" s="4" t="s">
        <v>159</v>
      </c>
      <c r="D60" s="4" t="s">
        <v>160</v>
      </c>
    </row>
    <row r="61" customFormat="false" ht="15" hidden="false" customHeight="false" outlineLevel="0" collapsed="false">
      <c r="A61" s="4" t="s">
        <v>161</v>
      </c>
      <c r="B61" s="28" t="n">
        <v>3</v>
      </c>
      <c r="C61" s="4" t="s">
        <v>162</v>
      </c>
      <c r="D61" s="4" t="s">
        <v>163</v>
      </c>
    </row>
    <row r="62" customFormat="false" ht="15" hidden="false" customHeight="false" outlineLevel="0" collapsed="false">
      <c r="A62" s="4" t="s">
        <v>164</v>
      </c>
      <c r="B62" s="31" t="n">
        <v>700</v>
      </c>
      <c r="C62" s="4" t="s">
        <v>165</v>
      </c>
      <c r="D62" s="4" t="s">
        <v>166</v>
      </c>
    </row>
    <row r="63" customFormat="false" ht="15" hidden="false" customHeight="false" outlineLevel="0" collapsed="false">
      <c r="A63" s="4" t="s">
        <v>167</v>
      </c>
      <c r="B63" s="31" t="n">
        <v>150</v>
      </c>
      <c r="C63" s="4" t="s">
        <v>165</v>
      </c>
      <c r="D63" s="4" t="s">
        <v>168</v>
      </c>
    </row>
    <row r="64" customFormat="false" ht="15" hidden="false" customHeight="false" outlineLevel="0" collapsed="false">
      <c r="A64" s="4" t="s">
        <v>169</v>
      </c>
      <c r="B64" s="29" t="n">
        <v>70</v>
      </c>
      <c r="C64" s="4" t="s">
        <v>170</v>
      </c>
      <c r="D64" s="4" t="s">
        <v>171</v>
      </c>
    </row>
    <row r="65" customFormat="false" ht="15" hidden="false" customHeight="false" outlineLevel="0" collapsed="false">
      <c r="A65" s="4" t="s">
        <v>172</v>
      </c>
      <c r="B65" s="30" t="n">
        <v>0.35</v>
      </c>
      <c r="C65" s="4" t="s">
        <v>173</v>
      </c>
      <c r="D65" s="4" t="s">
        <v>174</v>
      </c>
    </row>
    <row r="66" customFormat="false" ht="15" hidden="false" customHeight="false" outlineLevel="0" collapsed="false">
      <c r="A66" s="4" t="s">
        <v>175</v>
      </c>
      <c r="B66" s="32" t="n">
        <v>150</v>
      </c>
      <c r="C66" s="4" t="s">
        <v>165</v>
      </c>
      <c r="D66" s="4" t="s">
        <v>168</v>
      </c>
    </row>
    <row r="68" customFormat="false" ht="15" hidden="false" customHeight="false" outlineLevel="0" collapsed="false">
      <c r="A68" s="20" t="s">
        <v>176</v>
      </c>
      <c r="B68" s="21"/>
      <c r="C68" s="21"/>
      <c r="D68" s="21"/>
    </row>
    <row r="69" customFormat="false" ht="15" hidden="false" customHeight="false" outlineLevel="0" collapsed="false">
      <c r="A69" s="5" t="s">
        <v>78</v>
      </c>
      <c r="B69" s="5" t="s">
        <v>150</v>
      </c>
      <c r="C69" s="5"/>
      <c r="D69" s="5" t="s">
        <v>81</v>
      </c>
    </row>
    <row r="70" customFormat="false" ht="15" hidden="false" customHeight="false" outlineLevel="0" collapsed="false">
      <c r="A70" s="4" t="s">
        <v>177</v>
      </c>
      <c r="B70" s="29" t="n">
        <v>995</v>
      </c>
      <c r="D70" s="4" t="s">
        <v>178</v>
      </c>
    </row>
    <row r="71" customFormat="false" ht="15" hidden="false" customHeight="false" outlineLevel="0" collapsed="false">
      <c r="A71" s="4" t="s">
        <v>179</v>
      </c>
      <c r="B71" s="29" t="n">
        <v>709</v>
      </c>
      <c r="D71" s="4" t="s">
        <v>180</v>
      </c>
    </row>
    <row r="72" customFormat="false" ht="15" hidden="false" customHeight="false" outlineLevel="0" collapsed="false">
      <c r="A72" s="4" t="s">
        <v>181</v>
      </c>
      <c r="B72" s="29" t="n">
        <v>700</v>
      </c>
      <c r="D72" s="4" t="s">
        <v>182</v>
      </c>
    </row>
    <row r="73" customFormat="false" ht="15" hidden="false" customHeight="false" outlineLevel="0" collapsed="false">
      <c r="A73" s="4" t="s">
        <v>183</v>
      </c>
      <c r="B73" s="29" t="n">
        <v>200</v>
      </c>
      <c r="D73" s="4" t="s">
        <v>184</v>
      </c>
    </row>
    <row r="74" customFormat="false" ht="15" hidden="false" customHeight="false" outlineLevel="0" collapsed="false">
      <c r="A74" s="4" t="s">
        <v>185</v>
      </c>
      <c r="B74" s="6" t="n">
        <f aca="false">Inversion!B37/36</f>
        <v>134.388888888889</v>
      </c>
      <c r="D74" s="4" t="s">
        <v>186</v>
      </c>
    </row>
    <row r="75" customFormat="false" ht="15" hidden="false" customHeight="false" outlineLevel="0" collapsed="false">
      <c r="A75" s="10" t="s">
        <v>187</v>
      </c>
      <c r="B75" s="33" t="n">
        <f aca="false">SUM(B70:B74)</f>
        <v>2738.38888888889</v>
      </c>
    </row>
    <row r="77" customFormat="false" ht="15" hidden="false" customHeight="false" outlineLevel="0" collapsed="false">
      <c r="A77" s="20" t="s">
        <v>188</v>
      </c>
      <c r="B77" s="21"/>
      <c r="C77" s="21"/>
      <c r="D77" s="21"/>
    </row>
    <row r="78" customFormat="false" ht="26.85" hidden="false" customHeight="false" outlineLevel="0" collapsed="false">
      <c r="A78" s="5" t="s">
        <v>189</v>
      </c>
      <c r="B78" s="5" t="s">
        <v>173</v>
      </c>
      <c r="C78" s="5"/>
      <c r="D78" s="5" t="s">
        <v>127</v>
      </c>
    </row>
    <row r="79" customFormat="false" ht="15" hidden="false" customHeight="false" outlineLevel="0" collapsed="false">
      <c r="A79" s="4" t="s">
        <v>190</v>
      </c>
      <c r="B79" s="25" t="n">
        <v>0.4</v>
      </c>
      <c r="D79" s="4" t="s">
        <v>191</v>
      </c>
    </row>
    <row r="80" customFormat="false" ht="15" hidden="false" customHeight="false" outlineLevel="0" collapsed="false">
      <c r="A80" s="4" t="s">
        <v>192</v>
      </c>
      <c r="B80" s="25" t="n">
        <v>0.35</v>
      </c>
      <c r="D80" s="4"/>
    </row>
    <row r="81" customFormat="false" ht="15" hidden="false" customHeight="false" outlineLevel="0" collapsed="false">
      <c r="A81" s="4" t="s">
        <v>193</v>
      </c>
      <c r="B81" s="25" t="n">
        <v>0.25</v>
      </c>
      <c r="D81" s="4"/>
    </row>
    <row r="82" customFormat="false" ht="15" hidden="false" customHeight="false" outlineLevel="0" collapsed="false">
      <c r="A82" s="10" t="s">
        <v>194</v>
      </c>
      <c r="B82" s="12" t="n">
        <f aca="false">SUM(B79:B81)</f>
        <v>1</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6" min="2" style="0" width="24"/>
  </cols>
  <sheetData>
    <row r="1" customFormat="false" ht="17.35" hidden="false" customHeight="false" outlineLevel="0" collapsed="false">
      <c r="A1" s="1" t="s">
        <v>195</v>
      </c>
    </row>
    <row r="2" customFormat="false" ht="15" hidden="false" customHeight="false" outlineLevel="0" collapsed="false">
      <c r="A2" s="4" t="s">
        <v>196</v>
      </c>
    </row>
    <row r="4" customFormat="false" ht="42" hidden="false" customHeight="true" outlineLevel="0" collapsed="false">
      <c r="A4" s="5" t="s">
        <v>78</v>
      </c>
      <c r="B4" s="5" t="s">
        <v>32</v>
      </c>
      <c r="C4" s="5" t="s">
        <v>33</v>
      </c>
      <c r="D4" s="5" t="s">
        <v>34</v>
      </c>
      <c r="E4" s="5" t="s">
        <v>197</v>
      </c>
      <c r="F4" s="5" t="s">
        <v>198</v>
      </c>
    </row>
    <row r="5" customFormat="false" ht="15" hidden="false" customHeight="false" outlineLevel="0" collapsed="false">
      <c r="A5" s="4" t="s">
        <v>199</v>
      </c>
      <c r="B5" s="28" t="n">
        <v>1</v>
      </c>
      <c r="C5" s="28" t="n">
        <v>6</v>
      </c>
      <c r="D5" s="28" t="n">
        <v>6</v>
      </c>
      <c r="E5" s="28" t="n">
        <v>12</v>
      </c>
      <c r="F5" s="28" t="n">
        <v>3</v>
      </c>
    </row>
    <row r="6" customFormat="false" ht="15" hidden="false" customHeight="false" outlineLevel="0" collapsed="false">
      <c r="A6" s="4" t="s">
        <v>200</v>
      </c>
      <c r="B6" s="6" t="n">
        <f aca="false">B5*Supuestos!$B$6</f>
        <v>0.605</v>
      </c>
      <c r="C6" s="6" t="n">
        <f aca="false">C5*Supuestos!$B$6</f>
        <v>3.63</v>
      </c>
      <c r="D6" s="6" t="n">
        <f aca="false">D5*Supuestos!$B$6</f>
        <v>3.63</v>
      </c>
      <c r="E6" s="6" t="n">
        <f aca="false">E5*Supuestos!$B$6</f>
        <v>7.26</v>
      </c>
      <c r="F6" s="6" t="n">
        <f aca="false">F5*Supuestos!$B$6</f>
        <v>1.815</v>
      </c>
    </row>
    <row r="7" customFormat="false" ht="15" hidden="false" customHeight="false" outlineLevel="0" collapsed="false">
      <c r="A7" s="4" t="s">
        <v>201</v>
      </c>
      <c r="B7" s="6" t="n">
        <f aca="false">B5*Supuestos!$B$7</f>
        <v>0.45</v>
      </c>
      <c r="C7" s="6" t="n">
        <f aca="false">C5*Supuestos!$B$7</f>
        <v>2.7</v>
      </c>
      <c r="D7" s="6" t="n">
        <f aca="false">D5*(Supuestos!$B$7-Supuestos!$B$8)</f>
        <v>2.7</v>
      </c>
      <c r="E7" s="6" t="n">
        <f aca="false">E5*Supuestos!$B$7</f>
        <v>5.4</v>
      </c>
      <c r="F7" s="6" t="n">
        <f aca="false">F5*Supuestos!$B$7</f>
        <v>1.35</v>
      </c>
    </row>
    <row r="8" customFormat="false" ht="15" hidden="false" customHeight="false" outlineLevel="0" collapsed="false">
      <c r="A8" s="4" t="s">
        <v>202</v>
      </c>
      <c r="B8" s="6" t="n">
        <f aca="false">B5*Supuestos!$B$9</f>
        <v>0.09</v>
      </c>
      <c r="C8" s="6" t="n">
        <f aca="false">C5*Supuestos!$B$9</f>
        <v>0.54</v>
      </c>
      <c r="D8" s="13" t="n">
        <v>0</v>
      </c>
      <c r="E8" s="6" t="n">
        <f aca="false">E5*Supuestos!$B$9</f>
        <v>1.08</v>
      </c>
      <c r="F8" s="6" t="n">
        <f aca="false">F5*Supuestos!$B$9</f>
        <v>0.27</v>
      </c>
    </row>
    <row r="9" customFormat="false" ht="15" hidden="false" customHeight="false" outlineLevel="0" collapsed="false">
      <c r="A9" s="4" t="s">
        <v>203</v>
      </c>
      <c r="B9" s="6" t="n">
        <f aca="false">Supuestos!$B$10</f>
        <v>0.29</v>
      </c>
      <c r="C9" s="13" t="n">
        <v>0</v>
      </c>
      <c r="D9" s="13" t="n">
        <v>0</v>
      </c>
      <c r="E9" s="13" t="n">
        <v>0</v>
      </c>
      <c r="F9" s="6" t="n">
        <f aca="false">Supuestos!$B$10</f>
        <v>0.29</v>
      </c>
    </row>
    <row r="10" customFormat="false" ht="15" hidden="false" customHeight="false" outlineLevel="0" collapsed="false">
      <c r="A10" s="4" t="s">
        <v>204</v>
      </c>
      <c r="B10" s="13" t="n">
        <v>0</v>
      </c>
      <c r="C10" s="13" t="n">
        <v>0</v>
      </c>
      <c r="D10" s="6" t="n">
        <f aca="false">D5*Supuestos!$B$11</f>
        <v>0.06</v>
      </c>
      <c r="E10" s="13" t="n">
        <v>0</v>
      </c>
      <c r="F10" s="13" t="n">
        <v>0</v>
      </c>
    </row>
    <row r="11" customFormat="false" ht="15" hidden="false" customHeight="false" outlineLevel="0" collapsed="false">
      <c r="A11" s="4" t="s">
        <v>205</v>
      </c>
      <c r="B11" s="13" t="n">
        <v>0</v>
      </c>
      <c r="C11" s="6" t="n">
        <f aca="false">Supuestos!$B$19</f>
        <v>0.53</v>
      </c>
      <c r="D11" s="6" t="n">
        <f aca="false">Supuestos!$B$19</f>
        <v>0.53</v>
      </c>
      <c r="E11" s="6" t="n">
        <f aca="false">Supuestos!$B$21</f>
        <v>0.7</v>
      </c>
      <c r="F11" s="6" t="n">
        <f aca="false">Supuestos!$B$23</f>
        <v>0.45</v>
      </c>
    </row>
    <row r="12" customFormat="false" ht="15" hidden="false" customHeight="false" outlineLevel="0" collapsed="false">
      <c r="A12" s="4" t="s">
        <v>206</v>
      </c>
      <c r="B12" s="13" t="n">
        <v>0</v>
      </c>
      <c r="C12" s="6" t="n">
        <f aca="false">Supuestos!$B$20</f>
        <v>0.76</v>
      </c>
      <c r="D12" s="6" t="n">
        <f aca="false">Supuestos!$B$20</f>
        <v>0.76</v>
      </c>
      <c r="E12" s="6" t="n">
        <f aca="false">Supuestos!$B$22</f>
        <v>0.76</v>
      </c>
      <c r="F12" s="13" t="n">
        <v>0</v>
      </c>
    </row>
    <row r="13" customFormat="false" ht="15" hidden="false" customHeight="false" outlineLevel="0" collapsed="false">
      <c r="A13" s="4" t="s">
        <v>207</v>
      </c>
      <c r="B13" s="13" t="n">
        <f aca="false">Supuestos!$B$15*SUM(B6:B12)</f>
        <v>0.07175</v>
      </c>
      <c r="C13" s="13" t="n">
        <f aca="false">Supuestos!$B$15*SUM(C6:C12)</f>
        <v>0.408</v>
      </c>
      <c r="D13" s="13" t="n">
        <f aca="false">Supuestos!$B$15*SUM(D6:D12)</f>
        <v>0.384</v>
      </c>
      <c r="E13" s="13" t="n">
        <f aca="false">Supuestos!$B$15*SUM(E6:E12)</f>
        <v>0.76</v>
      </c>
      <c r="F13" s="13" t="n">
        <f aca="false">Supuestos!$B$15*SUM(F6:F12)</f>
        <v>0.20875</v>
      </c>
    </row>
    <row r="14" customFormat="false" ht="15" hidden="false" customHeight="false" outlineLevel="0" collapsed="false">
      <c r="A14" s="4" t="s">
        <v>208</v>
      </c>
      <c r="B14" s="13" t="n">
        <f aca="false">B5*(Supuestos!$B$12+Supuestos!$B$13+Supuestos!$B$14)</f>
        <v>0.213738636363636</v>
      </c>
      <c r="C14" s="13" t="n">
        <f aca="false">C5*(Supuestos!$B$12+Supuestos!$B$13+Supuestos!$B$14)</f>
        <v>1.28243181818182</v>
      </c>
      <c r="D14" s="13" t="n">
        <f aca="false">D5*(Supuestos!$B$12+Supuestos!$B$13+Supuestos!$B$14)</f>
        <v>1.28243181818182</v>
      </c>
      <c r="E14" s="13" t="n">
        <f aca="false">E5*(Supuestos!$B$12+Supuestos!$B$13+Supuestos!$B$14)</f>
        <v>2.56486363636364</v>
      </c>
      <c r="F14" s="13" t="n">
        <f aca="false">F5*(Supuestos!$B$12+Supuestos!$B$13+Supuestos!$B$14)</f>
        <v>0.641215909090909</v>
      </c>
    </row>
    <row r="15" customFormat="false" ht="15" hidden="false" customHeight="false" outlineLevel="0" collapsed="false">
      <c r="A15" s="10" t="s">
        <v>209</v>
      </c>
      <c r="B15" s="33" t="n">
        <f aca="false">SUM(B6:B14)</f>
        <v>1.72048863636364</v>
      </c>
      <c r="C15" s="33" t="n">
        <f aca="false">SUM(C6:C14)</f>
        <v>9.85043181818182</v>
      </c>
      <c r="D15" s="33" t="n">
        <f aca="false">SUM(D6:D14)</f>
        <v>9.34643181818182</v>
      </c>
      <c r="E15" s="33" t="n">
        <f aca="false">SUM(E6:E14)</f>
        <v>18.5248636363636</v>
      </c>
      <c r="F15" s="33" t="n">
        <f aca="false">SUM(F6:F14)</f>
        <v>5.02496590909091</v>
      </c>
    </row>
    <row r="16" customFormat="false" ht="15" hidden="false" customHeight="false" outlineLevel="0" collapsed="false">
      <c r="A16" s="10" t="s">
        <v>210</v>
      </c>
      <c r="B16" s="33" t="n">
        <f aca="false">IF(B5=0,0,B15/B5)</f>
        <v>1.72048863636364</v>
      </c>
      <c r="C16" s="33" t="n">
        <f aca="false">IF(C5=0,0,C15/C5)</f>
        <v>1.64173863636364</v>
      </c>
      <c r="D16" s="33" t="n">
        <f aca="false">IF(D5=0,0,D15/D5)</f>
        <v>1.55773863636364</v>
      </c>
      <c r="E16" s="33" t="n">
        <f aca="false">IF(E5=0,0,E15/E5)</f>
        <v>1.54373863636364</v>
      </c>
      <c r="F16" s="33" t="n">
        <f aca="false">IF(F5=0,0,F15/F5)</f>
        <v>1.67498863636364</v>
      </c>
    </row>
    <row r="18" customFormat="false" ht="15" hidden="false" customHeight="false" outlineLevel="0" collapsed="false">
      <c r="A18" s="10" t="s">
        <v>211</v>
      </c>
    </row>
    <row r="19" customFormat="false" ht="15" hidden="false" customHeight="false" outlineLevel="0" collapsed="false">
      <c r="A19" s="4" t="s">
        <v>212</v>
      </c>
      <c r="B19" s="6" t="n">
        <f aca="false">Supuestos!B40</f>
        <v>6</v>
      </c>
      <c r="C19" s="6" t="n">
        <f aca="false">Supuestos!C40</f>
        <v>27.9</v>
      </c>
      <c r="D19" s="6" t="n">
        <f aca="false">Supuestos!C40</f>
        <v>27.9</v>
      </c>
      <c r="E19" s="6" t="n">
        <f aca="false">Supuestos!D40</f>
        <v>51.9</v>
      </c>
      <c r="F19" s="6" t="n">
        <f aca="false">Supuestos!E40</f>
        <v>16.5</v>
      </c>
    </row>
    <row r="20" customFormat="false" ht="15" hidden="false" customHeight="false" outlineLevel="0" collapsed="false">
      <c r="A20" s="4" t="s">
        <v>213</v>
      </c>
      <c r="B20" s="13" t="n">
        <f aca="false">B19/(1+Supuestos!$B$26)</f>
        <v>5.08474576271187</v>
      </c>
      <c r="C20" s="13" t="n">
        <f aca="false">C19/(1+Supuestos!$B$26)</f>
        <v>23.6440677966102</v>
      </c>
      <c r="D20" s="13" t="n">
        <f aca="false">D19/(1+Supuestos!$B$26)</f>
        <v>23.6440677966102</v>
      </c>
      <c r="E20" s="13" t="n">
        <f aca="false">E19/(1+Supuestos!$B$26)</f>
        <v>43.9830508474576</v>
      </c>
      <c r="F20" s="13" t="n">
        <f aca="false">F19/(1+Supuestos!$B$26)</f>
        <v>13.9830508474576</v>
      </c>
    </row>
    <row r="21" customFormat="false" ht="15" hidden="false" customHeight="false" outlineLevel="0" collapsed="false">
      <c r="A21" s="4" t="s">
        <v>214</v>
      </c>
      <c r="B21" s="13" t="n">
        <f aca="false">B20-B15</f>
        <v>3.36425712634823</v>
      </c>
      <c r="C21" s="13" t="n">
        <f aca="false">C20-C15</f>
        <v>13.7936359784284</v>
      </c>
      <c r="D21" s="13" t="n">
        <f aca="false">D20-D15</f>
        <v>14.2976359784284</v>
      </c>
      <c r="E21" s="13" t="n">
        <f aca="false">E20-E15</f>
        <v>25.458187211094</v>
      </c>
      <c r="F21" s="13" t="n">
        <f aca="false">F20-F15</f>
        <v>8.95808493836672</v>
      </c>
    </row>
    <row r="22" customFormat="false" ht="15" hidden="false" customHeight="false" outlineLevel="0" collapsed="false">
      <c r="A22" s="4" t="s">
        <v>215</v>
      </c>
      <c r="B22" s="12" t="n">
        <f aca="false">IF(B20=0,0,B21/B20)</f>
        <v>0.661637234848485</v>
      </c>
      <c r="C22" s="12" t="n">
        <f aca="false">IF(C20=0,0,C21/C20)</f>
        <v>0.583386754643206</v>
      </c>
      <c r="D22" s="12" t="n">
        <f aca="false">IF(D20=0,0,D21/D20)</f>
        <v>0.604702883675464</v>
      </c>
      <c r="E22" s="12" t="n">
        <f aca="false">IF(E20=0,0,E21/E20)</f>
        <v>0.578818129269574</v>
      </c>
      <c r="F22" s="12" t="n">
        <f aca="false">IF(F20=0,0,F21/F20)</f>
        <v>0.640638801652893</v>
      </c>
    </row>
    <row r="24" customFormat="false" ht="15" hidden="false" customHeight="false" outlineLevel="0" collapsed="false">
      <c r="A24" s="10" t="s">
        <v>216</v>
      </c>
    </row>
    <row r="25" customFormat="false" ht="15" hidden="false" customHeight="false" outlineLevel="0" collapsed="false">
      <c r="A25" s="4" t="s">
        <v>212</v>
      </c>
      <c r="B25" s="6" t="n">
        <f aca="false">Supuestos!B42</f>
        <v>0</v>
      </c>
      <c r="C25" s="6" t="n">
        <f aca="false">Supuestos!C42</f>
        <v>26.9</v>
      </c>
      <c r="D25" s="6" t="n">
        <f aca="false">Supuestos!C42</f>
        <v>26.9</v>
      </c>
      <c r="E25" s="6" t="n">
        <f aca="false">Supuestos!D42</f>
        <v>49.9</v>
      </c>
      <c r="F25" s="6" t="n">
        <f aca="false">Supuestos!E42</f>
        <v>12</v>
      </c>
    </row>
    <row r="26" customFormat="false" ht="15" hidden="false" customHeight="false" outlineLevel="0" collapsed="false">
      <c r="A26" s="4" t="s">
        <v>213</v>
      </c>
      <c r="B26" s="13" t="n">
        <f aca="false">B25/(1+Supuestos!$B$26)</f>
        <v>0</v>
      </c>
      <c r="C26" s="13" t="n">
        <f aca="false">C25/(1+Supuestos!$B$26)</f>
        <v>22.7966101694915</v>
      </c>
      <c r="D26" s="13" t="n">
        <f aca="false">D25/(1+Supuestos!$B$26)</f>
        <v>22.7966101694915</v>
      </c>
      <c r="E26" s="13" t="n">
        <f aca="false">E25/(1+Supuestos!$B$26)</f>
        <v>42.2881355932203</v>
      </c>
      <c r="F26" s="13" t="n">
        <f aca="false">F25/(1+Supuestos!$B$26)</f>
        <v>10.1694915254237</v>
      </c>
    </row>
    <row r="27" customFormat="false" ht="15" hidden="false" customHeight="false" outlineLevel="0" collapsed="false">
      <c r="A27" s="4" t="s">
        <v>214</v>
      </c>
      <c r="B27" s="13" t="n">
        <f aca="false">B26-B15</f>
        <v>-1.72048863636364</v>
      </c>
      <c r="C27" s="13" t="n">
        <f aca="false">C26-C15</f>
        <v>12.9461783513097</v>
      </c>
      <c r="D27" s="13" t="n">
        <f aca="false">D26-D15</f>
        <v>13.4501783513097</v>
      </c>
      <c r="E27" s="13" t="n">
        <f aca="false">E26-E15</f>
        <v>23.7632719568567</v>
      </c>
      <c r="F27" s="13" t="n">
        <f aca="false">F26-F15</f>
        <v>5.14452561633282</v>
      </c>
    </row>
    <row r="28" customFormat="false" ht="15" hidden="false" customHeight="false" outlineLevel="0" collapsed="false">
      <c r="A28" s="4" t="s">
        <v>215</v>
      </c>
      <c r="B28" s="12" t="n">
        <f aca="false">IF(B26=0,0,B27/B26)</f>
        <v>0</v>
      </c>
      <c r="C28" s="12" t="n">
        <f aca="false">IF(C26=0,0,C27/C26)</f>
        <v>0.567899273403177</v>
      </c>
      <c r="D28" s="12" t="n">
        <f aca="false">IF(D26=0,0,D27/D26)</f>
        <v>0.59000782358905</v>
      </c>
      <c r="E28" s="12" t="n">
        <f aca="false">IF(E26=0,0,E27/E26)</f>
        <v>0.561937092366551</v>
      </c>
      <c r="F28" s="12" t="n">
        <f aca="false">IF(F26=0,0,F27/F26)</f>
        <v>0.505878352272727</v>
      </c>
    </row>
    <row r="30" customFormat="false" ht="15" hidden="false" customHeight="false" outlineLevel="0" collapsed="false">
      <c r="A30" s="4" t="s">
        <v>217</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S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8"/>
    <col collapsed="false" customWidth="true" hidden="false" outlineLevel="0" max="19" min="3" style="0" width="15"/>
  </cols>
  <sheetData>
    <row r="1" customFormat="false" ht="17.35" hidden="false" customHeight="false" outlineLevel="0" collapsed="false">
      <c r="A1" s="1" t="s">
        <v>218</v>
      </c>
    </row>
    <row r="2" customFormat="false" ht="15" hidden="false" customHeight="false" outlineLevel="0" collapsed="false">
      <c r="A2" s="4" t="s">
        <v>219</v>
      </c>
    </row>
    <row r="4" customFormat="false" ht="57.75" hidden="false" customHeight="true" outlineLevel="0" collapsed="false">
      <c r="A4" s="5" t="s">
        <v>124</v>
      </c>
      <c r="B4" s="5" t="s">
        <v>25</v>
      </c>
      <c r="C4" s="5" t="s">
        <v>220</v>
      </c>
      <c r="D4" s="5" t="s">
        <v>221</v>
      </c>
      <c r="E4" s="5" t="s">
        <v>222</v>
      </c>
      <c r="F4" s="5" t="s">
        <v>40</v>
      </c>
      <c r="G4" s="5" t="s">
        <v>223</v>
      </c>
      <c r="H4" s="5" t="s">
        <v>224</v>
      </c>
      <c r="I4" s="5" t="s">
        <v>225</v>
      </c>
      <c r="J4" s="5" t="s">
        <v>226</v>
      </c>
      <c r="K4" s="5" t="s">
        <v>227</v>
      </c>
      <c r="L4" s="5" t="s">
        <v>228</v>
      </c>
      <c r="M4" s="5" t="s">
        <v>229</v>
      </c>
      <c r="N4" s="5" t="s">
        <v>230</v>
      </c>
      <c r="O4" s="5" t="s">
        <v>231</v>
      </c>
      <c r="P4" s="5" t="s">
        <v>232</v>
      </c>
      <c r="Q4" s="5" t="s">
        <v>233</v>
      </c>
      <c r="R4" s="5" t="s">
        <v>234</v>
      </c>
      <c r="S4" s="5" t="s">
        <v>235</v>
      </c>
    </row>
    <row r="5" customFormat="false" ht="15" hidden="false" customHeight="false" outlineLevel="0" collapsed="false">
      <c r="A5" s="4" t="s">
        <v>128</v>
      </c>
      <c r="B5" s="4" t="s">
        <v>32</v>
      </c>
      <c r="C5" s="34" t="n">
        <f aca="false">Costeo!B5</f>
        <v>1</v>
      </c>
      <c r="D5" s="8" t="n">
        <f aca="false">Mensual!$N$14</f>
        <v>22625</v>
      </c>
      <c r="E5" s="7" t="n">
        <f aca="false">Supuestos!B48</f>
        <v>0.5</v>
      </c>
      <c r="F5" s="15" t="n">
        <f aca="false">D5*E5</f>
        <v>11312.5</v>
      </c>
      <c r="G5" s="15" t="n">
        <f aca="false">IF(C5=0,0,F5/C5)</f>
        <v>11312.5</v>
      </c>
      <c r="H5" s="6" t="n">
        <f aca="false">Supuestos!B40</f>
        <v>6</v>
      </c>
      <c r="I5" s="16" t="n">
        <f aca="false">G5*H5</f>
        <v>67875</v>
      </c>
      <c r="J5" s="16" t="n">
        <f aca="false">I5/(1+Supuestos!$B$26)</f>
        <v>57521.186440678</v>
      </c>
      <c r="K5" s="6" t="n">
        <f aca="false">Costeo!B15</f>
        <v>1.72048863636364</v>
      </c>
      <c r="L5" s="6" t="n">
        <f aca="false">Costeo!B15</f>
        <v>1.72048863636364</v>
      </c>
      <c r="M5" s="13" t="n">
        <f aca="false">IF(H5=0,0,C5*Supuestos!$B$32+H5*Supuestos!$B$27*Supuestos!$C$32+H5/(1+Supuestos!$B$26)*Supuestos!$B$28)</f>
        <v>0.500847457627119</v>
      </c>
      <c r="N5" s="13" t="n">
        <f aca="false">IF(H5=0,0,H5/(1+Supuestos!$B$26)-K5-M5)</f>
        <v>2.86340966872111</v>
      </c>
      <c r="O5" s="13" t="n">
        <f aca="false">IF(H5=0,0,H5/(1+Supuestos!$B$26)-L5-M5)</f>
        <v>2.86340966872111</v>
      </c>
      <c r="P5" s="16" t="n">
        <f aca="false">G5*N5</f>
        <v>32392.3218774076</v>
      </c>
      <c r="Q5" s="16" t="n">
        <f aca="false">G5*O5</f>
        <v>32392.3218774076</v>
      </c>
      <c r="R5" s="12" t="n">
        <f aca="false">IF(H5=0,0,N5/(H5/(1+Supuestos!$B$26)))</f>
        <v>0.563137234848485</v>
      </c>
      <c r="S5" s="12" t="n">
        <f aca="false">IF(H5=0,0,O5/(H5/(1+Supuestos!$B$26)))</f>
        <v>0.563137234848485</v>
      </c>
    </row>
    <row r="6" customFormat="false" ht="15" hidden="false" customHeight="false" outlineLevel="0" collapsed="false">
      <c r="A6" s="4" t="s">
        <v>128</v>
      </c>
      <c r="B6" s="4" t="s">
        <v>139</v>
      </c>
      <c r="C6" s="34" t="n">
        <f aca="false">Costeo!C5</f>
        <v>6</v>
      </c>
      <c r="D6" s="8" t="n">
        <f aca="false">Mensual!$N$14</f>
        <v>22625</v>
      </c>
      <c r="E6" s="7" t="n">
        <f aca="false">Supuestos!C48</f>
        <v>0.35</v>
      </c>
      <c r="F6" s="15" t="n">
        <f aca="false">D6*E6</f>
        <v>7918.75</v>
      </c>
      <c r="G6" s="15" t="n">
        <f aca="false">IF(C6=0,0,F6/C6)</f>
        <v>1319.79166666667</v>
      </c>
      <c r="H6" s="6" t="n">
        <f aca="false">Supuestos!C40</f>
        <v>27.9</v>
      </c>
      <c r="I6" s="16" t="n">
        <f aca="false">G6*H6</f>
        <v>36822.1875</v>
      </c>
      <c r="J6" s="16" t="n">
        <f aca="false">I6/(1+Supuestos!$B$26)</f>
        <v>31205.2436440678</v>
      </c>
      <c r="K6" s="6" t="n">
        <f aca="false">Costeo!C15</f>
        <v>9.85043181818182</v>
      </c>
      <c r="L6" s="6" t="n">
        <f aca="false">Costeo!D15</f>
        <v>9.34643181818182</v>
      </c>
      <c r="M6" s="13" t="n">
        <f aca="false">IF(H6=0,0,C6*Supuestos!$B$32+H6*Supuestos!$B$27*Supuestos!$C$32+H6/(1+Supuestos!$B$26)*Supuestos!$B$28)</f>
        <v>2.6934406779661</v>
      </c>
      <c r="N6" s="13" t="n">
        <f aca="false">IF(H6=0,0,H6/(1+Supuestos!$B$26)-K6-M6)</f>
        <v>11.1001953004623</v>
      </c>
      <c r="O6" s="13" t="n">
        <f aca="false">IF(H6=0,0,H6/(1+Supuestos!$B$26)-L6-M6)</f>
        <v>11.6041953004623</v>
      </c>
      <c r="P6" s="16" t="n">
        <f aca="false">G6*N6</f>
        <v>14649.9452559226</v>
      </c>
      <c r="Q6" s="16" t="n">
        <f aca="false">G6*O6</f>
        <v>15315.1202559226</v>
      </c>
      <c r="R6" s="12" t="n">
        <f aca="false">IF(H6=0,0,N6/(H6/(1+Supuestos!$B$26)))</f>
        <v>0.469470625610948</v>
      </c>
      <c r="S6" s="12" t="n">
        <f aca="false">IF(H6=0,0,O6/(H6/(1+Supuestos!$B$26)))</f>
        <v>0.490786754643206</v>
      </c>
    </row>
    <row r="7" customFormat="false" ht="15" hidden="false" customHeight="false" outlineLevel="0" collapsed="false">
      <c r="A7" s="4" t="s">
        <v>128</v>
      </c>
      <c r="B7" s="4" t="s">
        <v>35</v>
      </c>
      <c r="C7" s="34" t="n">
        <f aca="false">Costeo!E5</f>
        <v>12</v>
      </c>
      <c r="D7" s="8" t="n">
        <f aca="false">Mensual!$N$14</f>
        <v>22625</v>
      </c>
      <c r="E7" s="7" t="n">
        <f aca="false">Supuestos!D48</f>
        <v>0.05</v>
      </c>
      <c r="F7" s="15" t="n">
        <f aca="false">D7*E7</f>
        <v>1131.25</v>
      </c>
      <c r="G7" s="15" t="n">
        <f aca="false">IF(C7=0,0,F7/C7)</f>
        <v>94.2708333333333</v>
      </c>
      <c r="H7" s="6" t="n">
        <f aca="false">Supuestos!D40</f>
        <v>51.9</v>
      </c>
      <c r="I7" s="16" t="n">
        <f aca="false">G7*H7</f>
        <v>4892.65625</v>
      </c>
      <c r="J7" s="16" t="n">
        <f aca="false">I7/(1+Supuestos!$B$26)</f>
        <v>4146.3188559322</v>
      </c>
      <c r="K7" s="6" t="n">
        <f aca="false">Costeo!E15</f>
        <v>18.5248636363636</v>
      </c>
      <c r="L7" s="6" t="n">
        <f aca="false">Costeo!E15</f>
        <v>18.5248636363636</v>
      </c>
      <c r="M7" s="13" t="n">
        <f aca="false">IF(H7=0,0,C7*Supuestos!$B$32+H7*Supuestos!$B$27*Supuestos!$C$32+H7/(1+Supuestos!$B$26)*Supuestos!$B$28)</f>
        <v>5.23683050847458</v>
      </c>
      <c r="N7" s="13" t="n">
        <f aca="false">IF(H7=0,0,H7/(1+Supuestos!$B$26)-K7-M7)</f>
        <v>20.2213567026194</v>
      </c>
      <c r="O7" s="13" t="n">
        <f aca="false">IF(H7=0,0,H7/(1+Supuestos!$B$26)-L7-M7)</f>
        <v>20.2213567026194</v>
      </c>
      <c r="P7" s="16" t="n">
        <f aca="false">G7*N7</f>
        <v>1906.28414748652</v>
      </c>
      <c r="Q7" s="16" t="n">
        <f aca="false">G7*O7</f>
        <v>1906.28414748652</v>
      </c>
      <c r="R7" s="12" t="n">
        <f aca="false">IF(H7=0,0,N7/(H7/(1+Supuestos!$B$26)))</f>
        <v>0.459753389385181</v>
      </c>
      <c r="S7" s="12" t="n">
        <f aca="false">IF(H7=0,0,O7/(H7/(1+Supuestos!$B$26)))</f>
        <v>0.459753389385181</v>
      </c>
    </row>
    <row r="8" customFormat="false" ht="15" hidden="false" customHeight="false" outlineLevel="0" collapsed="false">
      <c r="A8" s="4" t="s">
        <v>128</v>
      </c>
      <c r="B8" s="4" t="s">
        <v>36</v>
      </c>
      <c r="C8" s="34" t="n">
        <f aca="false">Costeo!F5</f>
        <v>3</v>
      </c>
      <c r="D8" s="8" t="n">
        <f aca="false">Mensual!$N$14</f>
        <v>22625</v>
      </c>
      <c r="E8" s="7" t="n">
        <f aca="false">Supuestos!E48</f>
        <v>0.1</v>
      </c>
      <c r="F8" s="15" t="n">
        <f aca="false">D8*E8</f>
        <v>2262.5</v>
      </c>
      <c r="G8" s="15" t="n">
        <f aca="false">IF(C8=0,0,F8/C8)</f>
        <v>754.166666666667</v>
      </c>
      <c r="H8" s="6" t="n">
        <f aca="false">Supuestos!E40</f>
        <v>16.5</v>
      </c>
      <c r="I8" s="16" t="n">
        <f aca="false">G8*H8</f>
        <v>12443.75</v>
      </c>
      <c r="J8" s="16" t="n">
        <f aca="false">I8/(1+Supuestos!$B$26)</f>
        <v>10545.5508474576</v>
      </c>
      <c r="K8" s="6" t="n">
        <f aca="false">Costeo!F15</f>
        <v>5.02496590909091</v>
      </c>
      <c r="L8" s="6" t="n">
        <f aca="false">Costeo!F15</f>
        <v>5.02496590909091</v>
      </c>
      <c r="M8" s="13" t="n">
        <f aca="false">IF(H8=0,0,C8*Supuestos!$B$32+H8*Supuestos!$B$27*Supuestos!$C$32+H8/(1+Supuestos!$B$26)*Supuestos!$B$28)</f>
        <v>1.44483050847458</v>
      </c>
      <c r="N8" s="13" t="n">
        <f aca="false">IF(H8=0,0,H8/(1+Supuestos!$B$26)-K8-M8)</f>
        <v>7.51325442989214</v>
      </c>
      <c r="O8" s="13" t="n">
        <f aca="false">IF(H8=0,0,H8/(1+Supuestos!$B$26)-L8-M8)</f>
        <v>7.51325442989214</v>
      </c>
      <c r="P8" s="16" t="n">
        <f aca="false">G8*N8</f>
        <v>5666.24604921032</v>
      </c>
      <c r="Q8" s="16" t="n">
        <f aca="false">G8*O8</f>
        <v>5666.24604921032</v>
      </c>
      <c r="R8" s="12" t="n">
        <f aca="false">IF(H8=0,0,N8/(H8/(1+Supuestos!$B$26)))</f>
        <v>0.53731152892562</v>
      </c>
      <c r="S8" s="12" t="n">
        <f aca="false">IF(H8=0,0,O8/(H8/(1+Supuestos!$B$26)))</f>
        <v>0.53731152892562</v>
      </c>
    </row>
    <row r="9" customFormat="false" ht="15" hidden="false" customHeight="false" outlineLevel="0" collapsed="false">
      <c r="A9" s="4" t="s">
        <v>130</v>
      </c>
      <c r="B9" s="4" t="s">
        <v>32</v>
      </c>
      <c r="C9" s="34" t="n">
        <f aca="false">Costeo!B5</f>
        <v>1</v>
      </c>
      <c r="D9" s="8" t="n">
        <f aca="false">Mensual!$N$15</f>
        <v>7400</v>
      </c>
      <c r="E9" s="7" t="n">
        <f aca="false">Supuestos!B49</f>
        <v>0.6</v>
      </c>
      <c r="F9" s="15" t="n">
        <f aca="false">D9*E9</f>
        <v>4440</v>
      </c>
      <c r="G9" s="15" t="n">
        <f aca="false">IF(C9=0,0,F9/C9)</f>
        <v>4440</v>
      </c>
      <c r="H9" s="6" t="n">
        <f aca="false">Supuestos!B41</f>
        <v>6</v>
      </c>
      <c r="I9" s="16" t="n">
        <f aca="false">G9*H9</f>
        <v>26640</v>
      </c>
      <c r="J9" s="16" t="n">
        <f aca="false">I9/(1+Supuestos!$B$26)</f>
        <v>22576.2711864407</v>
      </c>
      <c r="K9" s="6" t="n">
        <f aca="false">Costeo!B15</f>
        <v>1.72048863636364</v>
      </c>
      <c r="L9" s="6" t="n">
        <f aca="false">Costeo!B15</f>
        <v>1.72048863636364</v>
      </c>
      <c r="M9" s="13" t="n">
        <f aca="false">IF(H9=0,0,C9*Supuestos!$B$33+H9*Supuestos!$B$27*Supuestos!$C$33+H9/(1+Supuestos!$B$26)*Supuestos!$B$28)</f>
        <v>0.500847457627119</v>
      </c>
      <c r="N9" s="13" t="n">
        <f aca="false">IF(H9=0,0,H9/(1+Supuestos!$B$26)-K9-M9)</f>
        <v>2.86340966872111</v>
      </c>
      <c r="O9" s="13" t="n">
        <f aca="false">IF(H9=0,0,H9/(1+Supuestos!$B$26)-L9-M9)</f>
        <v>2.86340966872111</v>
      </c>
      <c r="P9" s="16" t="n">
        <f aca="false">G9*N9</f>
        <v>12713.5389291217</v>
      </c>
      <c r="Q9" s="16" t="n">
        <f aca="false">G9*O9</f>
        <v>12713.5389291217</v>
      </c>
      <c r="R9" s="12" t="n">
        <f aca="false">IF(H9=0,0,N9/(H9/(1+Supuestos!$B$26)))</f>
        <v>0.563137234848485</v>
      </c>
      <c r="S9" s="12" t="n">
        <f aca="false">IF(H9=0,0,O9/(H9/(1+Supuestos!$B$26)))</f>
        <v>0.563137234848485</v>
      </c>
    </row>
    <row r="10" customFormat="false" ht="15" hidden="false" customHeight="false" outlineLevel="0" collapsed="false">
      <c r="A10" s="4" t="s">
        <v>130</v>
      </c>
      <c r="B10" s="4" t="s">
        <v>139</v>
      </c>
      <c r="C10" s="34" t="n">
        <f aca="false">Costeo!C5</f>
        <v>6</v>
      </c>
      <c r="D10" s="8" t="n">
        <f aca="false">Mensual!$N$15</f>
        <v>7400</v>
      </c>
      <c r="E10" s="7" t="n">
        <f aca="false">Supuestos!C49</f>
        <v>0.3</v>
      </c>
      <c r="F10" s="15" t="n">
        <f aca="false">D10*E10</f>
        <v>2220</v>
      </c>
      <c r="G10" s="15" t="n">
        <f aca="false">IF(C10=0,0,F10/C10)</f>
        <v>370</v>
      </c>
      <c r="H10" s="6" t="n">
        <f aca="false">Supuestos!C41</f>
        <v>27.9</v>
      </c>
      <c r="I10" s="16" t="n">
        <f aca="false">G10*H10</f>
        <v>10323</v>
      </c>
      <c r="J10" s="16" t="n">
        <f aca="false">I10/(1+Supuestos!$B$26)</f>
        <v>8748.30508474576</v>
      </c>
      <c r="K10" s="6" t="n">
        <f aca="false">Costeo!C15</f>
        <v>9.85043181818182</v>
      </c>
      <c r="L10" s="6" t="n">
        <f aca="false">Costeo!D15</f>
        <v>9.34643181818182</v>
      </c>
      <c r="M10" s="13" t="n">
        <f aca="false">IF(H10=0,0,C10*Supuestos!$B$33+H10*Supuestos!$B$27*Supuestos!$C$33+H10/(1+Supuestos!$B$26)*Supuestos!$B$28)</f>
        <v>2.6934406779661</v>
      </c>
      <c r="N10" s="13" t="n">
        <f aca="false">IF(H10=0,0,H10/(1+Supuestos!$B$26)-K10-M10)</f>
        <v>11.1001953004623</v>
      </c>
      <c r="O10" s="13" t="n">
        <f aca="false">IF(H10=0,0,H10/(1+Supuestos!$B$26)-L10-M10)</f>
        <v>11.6041953004623</v>
      </c>
      <c r="P10" s="16" t="n">
        <f aca="false">G10*N10</f>
        <v>4107.07226117103</v>
      </c>
      <c r="Q10" s="16" t="n">
        <f aca="false">G10*O10</f>
        <v>4293.55226117103</v>
      </c>
      <c r="R10" s="12" t="n">
        <f aca="false">IF(H10=0,0,N10/(H10/(1+Supuestos!$B$26)))</f>
        <v>0.469470625610948</v>
      </c>
      <c r="S10" s="12" t="n">
        <f aca="false">IF(H10=0,0,O10/(H10/(1+Supuestos!$B$26)))</f>
        <v>0.490786754643206</v>
      </c>
    </row>
    <row r="11" customFormat="false" ht="15" hidden="false" customHeight="false" outlineLevel="0" collapsed="false">
      <c r="A11" s="4" t="s">
        <v>130</v>
      </c>
      <c r="B11" s="4" t="s">
        <v>35</v>
      </c>
      <c r="C11" s="34" t="n">
        <f aca="false">Costeo!E5</f>
        <v>12</v>
      </c>
      <c r="D11" s="8" t="n">
        <f aca="false">Mensual!$N$15</f>
        <v>7400</v>
      </c>
      <c r="E11" s="7" t="n">
        <f aca="false">Supuestos!D49</f>
        <v>0</v>
      </c>
      <c r="F11" s="15" t="n">
        <f aca="false">D11*E11</f>
        <v>0</v>
      </c>
      <c r="G11" s="15" t="n">
        <f aca="false">IF(C11=0,0,F11/C11)</f>
        <v>0</v>
      </c>
      <c r="H11" s="6" t="n">
        <f aca="false">Supuestos!D41</f>
        <v>51.9</v>
      </c>
      <c r="I11" s="16" t="n">
        <f aca="false">G11*H11</f>
        <v>0</v>
      </c>
      <c r="J11" s="16" t="n">
        <f aca="false">I11/(1+Supuestos!$B$26)</f>
        <v>0</v>
      </c>
      <c r="K11" s="6" t="n">
        <f aca="false">Costeo!E15</f>
        <v>18.5248636363636</v>
      </c>
      <c r="L11" s="6" t="n">
        <f aca="false">Costeo!E15</f>
        <v>18.5248636363636</v>
      </c>
      <c r="M11" s="13" t="n">
        <f aca="false">IF(H11=0,0,C11*Supuestos!$B$33+H11*Supuestos!$B$27*Supuestos!$C$33+H11/(1+Supuestos!$B$26)*Supuestos!$B$28)</f>
        <v>5.23683050847458</v>
      </c>
      <c r="N11" s="13" t="n">
        <f aca="false">IF(H11=0,0,H11/(1+Supuestos!$B$26)-K11-M11)</f>
        <v>20.2213567026194</v>
      </c>
      <c r="O11" s="13" t="n">
        <f aca="false">IF(H11=0,0,H11/(1+Supuestos!$B$26)-L11-M11)</f>
        <v>20.2213567026194</v>
      </c>
      <c r="P11" s="16" t="n">
        <f aca="false">G11*N11</f>
        <v>0</v>
      </c>
      <c r="Q11" s="16" t="n">
        <f aca="false">G11*O11</f>
        <v>0</v>
      </c>
      <c r="R11" s="12" t="n">
        <f aca="false">IF(H11=0,0,N11/(H11/(1+Supuestos!$B$26)))</f>
        <v>0.459753389385181</v>
      </c>
      <c r="S11" s="12" t="n">
        <f aca="false">IF(H11=0,0,O11/(H11/(1+Supuestos!$B$26)))</f>
        <v>0.459753389385181</v>
      </c>
    </row>
    <row r="12" customFormat="false" ht="15" hidden="false" customHeight="false" outlineLevel="0" collapsed="false">
      <c r="A12" s="4" t="s">
        <v>130</v>
      </c>
      <c r="B12" s="4" t="s">
        <v>36</v>
      </c>
      <c r="C12" s="34" t="n">
        <f aca="false">Costeo!F5</f>
        <v>3</v>
      </c>
      <c r="D12" s="8" t="n">
        <f aca="false">Mensual!$N$15</f>
        <v>7400</v>
      </c>
      <c r="E12" s="7" t="n">
        <f aca="false">Supuestos!E49</f>
        <v>0.1</v>
      </c>
      <c r="F12" s="15" t="n">
        <f aca="false">D12*E12</f>
        <v>740</v>
      </c>
      <c r="G12" s="15" t="n">
        <f aca="false">IF(C12=0,0,F12/C12)</f>
        <v>246.666666666667</v>
      </c>
      <c r="H12" s="6" t="n">
        <f aca="false">Supuestos!E41</f>
        <v>16.5</v>
      </c>
      <c r="I12" s="16" t="n">
        <f aca="false">G12*H12</f>
        <v>4070</v>
      </c>
      <c r="J12" s="16" t="n">
        <f aca="false">I12/(1+Supuestos!$B$26)</f>
        <v>3449.15254237288</v>
      </c>
      <c r="K12" s="6" t="n">
        <f aca="false">Costeo!F15</f>
        <v>5.02496590909091</v>
      </c>
      <c r="L12" s="6" t="n">
        <f aca="false">Costeo!F15</f>
        <v>5.02496590909091</v>
      </c>
      <c r="M12" s="13" t="n">
        <f aca="false">IF(H12=0,0,C12*Supuestos!$B$33+H12*Supuestos!$B$27*Supuestos!$C$33+H12/(1+Supuestos!$B$26)*Supuestos!$B$28)</f>
        <v>1.44483050847458</v>
      </c>
      <c r="N12" s="13" t="n">
        <f aca="false">IF(H12=0,0,H12/(1+Supuestos!$B$26)-K12-M12)</f>
        <v>7.51325442989214</v>
      </c>
      <c r="O12" s="13" t="n">
        <f aca="false">IF(H12=0,0,H12/(1+Supuestos!$B$26)-L12-M12)</f>
        <v>7.51325442989214</v>
      </c>
      <c r="P12" s="16" t="n">
        <f aca="false">G12*N12</f>
        <v>1853.26942604006</v>
      </c>
      <c r="Q12" s="16" t="n">
        <f aca="false">G12*O12</f>
        <v>1853.26942604006</v>
      </c>
      <c r="R12" s="12" t="n">
        <f aca="false">IF(H12=0,0,N12/(H12/(1+Supuestos!$B$26)))</f>
        <v>0.53731152892562</v>
      </c>
      <c r="S12" s="12" t="n">
        <f aca="false">IF(H12=0,0,O12/(H12/(1+Supuestos!$B$26)))</f>
        <v>0.53731152892562</v>
      </c>
    </row>
    <row r="13" customFormat="false" ht="15" hidden="false" customHeight="false" outlineLevel="0" collapsed="false">
      <c r="A13" s="4" t="s">
        <v>132</v>
      </c>
      <c r="B13" s="4" t="s">
        <v>32</v>
      </c>
      <c r="C13" s="34" t="n">
        <f aca="false">Costeo!B5</f>
        <v>1</v>
      </c>
      <c r="D13" s="8" t="n">
        <f aca="false">Mensual!$N$16</f>
        <v>9421</v>
      </c>
      <c r="E13" s="7" t="n">
        <f aca="false">Supuestos!B50</f>
        <v>0</v>
      </c>
      <c r="F13" s="15" t="n">
        <f aca="false">D13*E13</f>
        <v>0</v>
      </c>
      <c r="G13" s="15" t="n">
        <f aca="false">IF(C13=0,0,F13/C13)</f>
        <v>0</v>
      </c>
      <c r="H13" s="6" t="n">
        <f aca="false">Supuestos!B42</f>
        <v>0</v>
      </c>
      <c r="I13" s="16" t="n">
        <f aca="false">G13*H13</f>
        <v>0</v>
      </c>
      <c r="J13" s="16" t="n">
        <f aca="false">I13/(1+Supuestos!$B$26)</f>
        <v>0</v>
      </c>
      <c r="K13" s="6" t="n">
        <f aca="false">Costeo!B15</f>
        <v>1.72048863636364</v>
      </c>
      <c r="L13" s="6" t="n">
        <f aca="false">Costeo!B15</f>
        <v>1.72048863636364</v>
      </c>
      <c r="M13" s="13" t="n">
        <f aca="false">IF(H13=0,0,C13*Supuestos!$B$34+H13*Supuestos!$B$27*Supuestos!$C$34+H13/(1+Supuestos!$B$26)*Supuestos!$B$28)</f>
        <v>0</v>
      </c>
      <c r="N13" s="13" t="n">
        <f aca="false">IF(H13=0,0,H13/(1+Supuestos!$B$26)-K13-M13)</f>
        <v>0</v>
      </c>
      <c r="O13" s="13" t="n">
        <f aca="false">IF(H13=0,0,H13/(1+Supuestos!$B$26)-L13-M13)</f>
        <v>0</v>
      </c>
      <c r="P13" s="16" t="n">
        <f aca="false">G13*N13</f>
        <v>0</v>
      </c>
      <c r="Q13" s="16" t="n">
        <f aca="false">G13*O13</f>
        <v>0</v>
      </c>
      <c r="R13" s="12" t="n">
        <f aca="false">IF(H13=0,0,N13/(H13/(1+Supuestos!$B$26)))</f>
        <v>0</v>
      </c>
      <c r="S13" s="12" t="n">
        <f aca="false">IF(H13=0,0,O13/(H13/(1+Supuestos!$B$26)))</f>
        <v>0</v>
      </c>
    </row>
    <row r="14" customFormat="false" ht="15" hidden="false" customHeight="false" outlineLevel="0" collapsed="false">
      <c r="A14" s="4" t="s">
        <v>132</v>
      </c>
      <c r="B14" s="4" t="s">
        <v>139</v>
      </c>
      <c r="C14" s="34" t="n">
        <f aca="false">Costeo!C5</f>
        <v>6</v>
      </c>
      <c r="D14" s="8" t="n">
        <f aca="false">Mensual!$N$16</f>
        <v>9421</v>
      </c>
      <c r="E14" s="7" t="n">
        <f aca="false">Supuestos!C50</f>
        <v>0.6</v>
      </c>
      <c r="F14" s="15" t="n">
        <f aca="false">D14*E14</f>
        <v>5652.6</v>
      </c>
      <c r="G14" s="15" t="n">
        <f aca="false">IF(C14=0,0,F14/C14)</f>
        <v>942.1</v>
      </c>
      <c r="H14" s="6" t="n">
        <f aca="false">Supuestos!C42</f>
        <v>26.9</v>
      </c>
      <c r="I14" s="16" t="n">
        <f aca="false">G14*H14</f>
        <v>25342.49</v>
      </c>
      <c r="J14" s="16" t="n">
        <f aca="false">I14/(1+Supuestos!$B$26)</f>
        <v>21476.686440678</v>
      </c>
      <c r="K14" s="6" t="n">
        <f aca="false">Costeo!C15</f>
        <v>9.85043181818182</v>
      </c>
      <c r="L14" s="6" t="n">
        <f aca="false">Costeo!D15</f>
        <v>9.34643181818182</v>
      </c>
      <c r="M14" s="13" t="n">
        <f aca="false">IF(H14=0,0,C14*Supuestos!$B$34+H14*Supuestos!$B$27*Supuestos!$C$34+H14/(1+Supuestos!$B$26)*Supuestos!$B$28)</f>
        <v>4.03496610169492</v>
      </c>
      <c r="N14" s="13" t="n">
        <f aca="false">IF(H14=0,0,H14/(1+Supuestos!$B$26)-K14-M14)</f>
        <v>8.91121224961479</v>
      </c>
      <c r="O14" s="13" t="n">
        <f aca="false">IF(H14=0,0,H14/(1+Supuestos!$B$26)-L14-M14)</f>
        <v>9.41521224961479</v>
      </c>
      <c r="P14" s="16" t="n">
        <f aca="false">G14*N14</f>
        <v>8395.25306036209</v>
      </c>
      <c r="Q14" s="16" t="n">
        <f aca="false">G14*O14</f>
        <v>8870.0714603621</v>
      </c>
      <c r="R14" s="12" t="n">
        <f aca="false">IF(H14=0,0,N14/(H14/(1+Supuestos!$B$26)))</f>
        <v>0.390900760392024</v>
      </c>
      <c r="S14" s="12" t="n">
        <f aca="false">IF(H14=0,0,O14/(H14/(1+Supuestos!$B$26)))</f>
        <v>0.413009310577898</v>
      </c>
    </row>
    <row r="15" customFormat="false" ht="15" hidden="false" customHeight="false" outlineLevel="0" collapsed="false">
      <c r="A15" s="4" t="s">
        <v>132</v>
      </c>
      <c r="B15" s="4" t="s">
        <v>35</v>
      </c>
      <c r="C15" s="34" t="n">
        <f aca="false">Costeo!E5</f>
        <v>12</v>
      </c>
      <c r="D15" s="8" t="n">
        <f aca="false">Mensual!$N$16</f>
        <v>9421</v>
      </c>
      <c r="E15" s="7" t="n">
        <f aca="false">Supuestos!D50</f>
        <v>0.3</v>
      </c>
      <c r="F15" s="15" t="n">
        <f aca="false">D15*E15</f>
        <v>2826.3</v>
      </c>
      <c r="G15" s="15" t="n">
        <f aca="false">IF(C15=0,0,F15/C15)</f>
        <v>235.525</v>
      </c>
      <c r="H15" s="6" t="n">
        <f aca="false">Supuestos!D42</f>
        <v>49.9</v>
      </c>
      <c r="I15" s="16" t="n">
        <f aca="false">G15*H15</f>
        <v>11752.6975</v>
      </c>
      <c r="J15" s="16" t="n">
        <f aca="false">I15/(1+Supuestos!$B$26)</f>
        <v>9959.91313559322</v>
      </c>
      <c r="K15" s="6" t="n">
        <f aca="false">Costeo!E15</f>
        <v>18.5248636363636</v>
      </c>
      <c r="L15" s="6" t="n">
        <f aca="false">Costeo!E15</f>
        <v>18.5248636363636</v>
      </c>
      <c r="M15" s="13" t="n">
        <f aca="false">IF(H15=0,0,C15*Supuestos!$B$34+H15*Supuestos!$B$27*Supuestos!$C$34+H15/(1+Supuestos!$B$26)*Supuestos!$B$28)</f>
        <v>7.9198813559322</v>
      </c>
      <c r="N15" s="13" t="n">
        <f aca="false">IF(H15=0,0,H15/(1+Supuestos!$B$26)-K15-M15)</f>
        <v>15.8433906009245</v>
      </c>
      <c r="O15" s="13" t="n">
        <f aca="false">IF(H15=0,0,H15/(1+Supuestos!$B$26)-L15-M15)</f>
        <v>15.8433906009245</v>
      </c>
      <c r="P15" s="16" t="n">
        <f aca="false">G15*N15</f>
        <v>3731.51457128274</v>
      </c>
      <c r="Q15" s="16" t="n">
        <f aca="false">G15*O15</f>
        <v>3731.51457128274</v>
      </c>
      <c r="R15" s="12" t="n">
        <f aca="false">IF(H15=0,0,N15/(H15/(1+Supuestos!$B$26)))</f>
        <v>0.374653324831481</v>
      </c>
      <c r="S15" s="12" t="n">
        <f aca="false">IF(H15=0,0,O15/(H15/(1+Supuestos!$B$26)))</f>
        <v>0.374653324831481</v>
      </c>
    </row>
    <row r="16" customFormat="false" ht="15" hidden="false" customHeight="false" outlineLevel="0" collapsed="false">
      <c r="A16" s="4" t="s">
        <v>132</v>
      </c>
      <c r="B16" s="4" t="s">
        <v>36</v>
      </c>
      <c r="C16" s="34" t="n">
        <f aca="false">Costeo!F5</f>
        <v>3</v>
      </c>
      <c r="D16" s="8" t="n">
        <f aca="false">Mensual!$N$16</f>
        <v>9421</v>
      </c>
      <c r="E16" s="7" t="n">
        <f aca="false">Supuestos!E50</f>
        <v>0.1</v>
      </c>
      <c r="F16" s="15" t="n">
        <f aca="false">D16*E16</f>
        <v>942.1</v>
      </c>
      <c r="G16" s="15" t="n">
        <f aca="false">IF(C16=0,0,F16/C16)</f>
        <v>314.033333333333</v>
      </c>
      <c r="H16" s="6" t="n">
        <f aca="false">Supuestos!E42</f>
        <v>12</v>
      </c>
      <c r="I16" s="16" t="n">
        <f aca="false">G16*H16</f>
        <v>3768.4</v>
      </c>
      <c r="J16" s="16" t="n">
        <f aca="false">I16/(1+Supuestos!$B$26)</f>
        <v>3193.5593220339</v>
      </c>
      <c r="K16" s="6" t="n">
        <f aca="false">Costeo!F15</f>
        <v>5.02496590909091</v>
      </c>
      <c r="L16" s="6" t="n">
        <f aca="false">Costeo!F15</f>
        <v>5.02496590909091</v>
      </c>
      <c r="M16" s="13" t="n">
        <f aca="false">IF(H16=0,0,C16*Supuestos!$B$34+H16*Supuestos!$B$27*Supuestos!$C$34+H16/(1+Supuestos!$B$26)*Supuestos!$B$28)</f>
        <v>1.96169491525424</v>
      </c>
      <c r="N16" s="13" t="n">
        <f aca="false">IF(H16=0,0,H16/(1+Supuestos!$B$26)-K16-M16)</f>
        <v>3.18283070107858</v>
      </c>
      <c r="O16" s="13" t="n">
        <f aca="false">IF(H16=0,0,H16/(1+Supuestos!$B$26)-L16-M16)</f>
        <v>3.18283070107858</v>
      </c>
      <c r="P16" s="16" t="n">
        <f aca="false">G16*N16</f>
        <v>999.514934495378</v>
      </c>
      <c r="Q16" s="16" t="n">
        <f aca="false">G16*O16</f>
        <v>999.514934495378</v>
      </c>
      <c r="R16" s="12" t="n">
        <f aca="false">IF(H16=0,0,N16/(H16/(1+Supuestos!$B$26)))</f>
        <v>0.312978352272727</v>
      </c>
      <c r="S16" s="12" t="n">
        <f aca="false">IF(H16=0,0,O16/(H16/(1+Supuestos!$B$26)))</f>
        <v>0.312978352272727</v>
      </c>
    </row>
    <row r="17" customFormat="false" ht="15" hidden="false" customHeight="false" outlineLevel="0" collapsed="false">
      <c r="A17" s="4" t="s">
        <v>134</v>
      </c>
      <c r="B17" s="4" t="s">
        <v>32</v>
      </c>
      <c r="C17" s="34" t="n">
        <f aca="false">Costeo!B5</f>
        <v>1</v>
      </c>
      <c r="D17" s="8" t="n">
        <f aca="false">Mensual!$N$17</f>
        <v>9165</v>
      </c>
      <c r="E17" s="7" t="n">
        <f aca="false">Supuestos!B51</f>
        <v>1</v>
      </c>
      <c r="F17" s="15" t="n">
        <f aca="false">D17*E17</f>
        <v>9165</v>
      </c>
      <c r="G17" s="15" t="n">
        <f aca="false">IF(C17=0,0,F17/C17)</f>
        <v>9165</v>
      </c>
      <c r="H17" s="6" t="n">
        <f aca="false">Supuestos!B43</f>
        <v>3.2</v>
      </c>
      <c r="I17" s="16" t="n">
        <f aca="false">G17*H17</f>
        <v>29328</v>
      </c>
      <c r="J17" s="16" t="n">
        <f aca="false">I17/(1+Supuestos!$B$26)</f>
        <v>24854.2372881356</v>
      </c>
      <c r="K17" s="6" t="n">
        <f aca="false">Costeo!B15</f>
        <v>1.72048863636364</v>
      </c>
      <c r="L17" s="6" t="n">
        <f aca="false">Costeo!B15</f>
        <v>1.72048863636364</v>
      </c>
      <c r="M17" s="13" t="n">
        <f aca="false">IF(H17=0,0,C17*Supuestos!$B$35+H17*Supuestos!$B$27*Supuestos!$C$35+H17/(1+Supuestos!$B$26)*Supuestos!$B$28)</f>
        <v>0.127118644067797</v>
      </c>
      <c r="N17" s="13" t="n">
        <f aca="false">IF(H17=0,0,H17/(1+Supuestos!$B$26)-K17-M17)</f>
        <v>0.864257126348228</v>
      </c>
      <c r="O17" s="13" t="n">
        <f aca="false">IF(H17=0,0,H17/(1+Supuestos!$B$26)-L17-M17)</f>
        <v>0.864257126348228</v>
      </c>
      <c r="P17" s="16" t="n">
        <f aca="false">G17*N17</f>
        <v>7920.91656298151</v>
      </c>
      <c r="Q17" s="16" t="n">
        <f aca="false">G17*O17</f>
        <v>7920.91656298151</v>
      </c>
      <c r="R17" s="12" t="n">
        <f aca="false">IF(H17=0,0,N17/(H17/(1+Supuestos!$B$26)))</f>
        <v>0.318694815340909</v>
      </c>
      <c r="S17" s="12" t="n">
        <f aca="false">IF(H17=0,0,O17/(H17/(1+Supuestos!$B$26)))</f>
        <v>0.318694815340909</v>
      </c>
    </row>
    <row r="18" customFormat="false" ht="15" hidden="false" customHeight="false" outlineLevel="0" collapsed="false">
      <c r="A18" s="4" t="s">
        <v>134</v>
      </c>
      <c r="B18" s="4" t="s">
        <v>139</v>
      </c>
      <c r="C18" s="34" t="n">
        <f aca="false">Costeo!C5</f>
        <v>6</v>
      </c>
      <c r="D18" s="8" t="n">
        <f aca="false">Mensual!$N$17</f>
        <v>9165</v>
      </c>
      <c r="E18" s="7" t="n">
        <f aca="false">Supuestos!C51</f>
        <v>0</v>
      </c>
      <c r="F18" s="15" t="n">
        <f aca="false">D18*E18</f>
        <v>0</v>
      </c>
      <c r="G18" s="15" t="n">
        <f aca="false">IF(C18=0,0,F18/C18)</f>
        <v>0</v>
      </c>
      <c r="H18" s="6" t="n">
        <f aca="false">Supuestos!C43</f>
        <v>0</v>
      </c>
      <c r="I18" s="16" t="n">
        <f aca="false">G18*H18</f>
        <v>0</v>
      </c>
      <c r="J18" s="16" t="n">
        <f aca="false">I18/(1+Supuestos!$B$26)</f>
        <v>0</v>
      </c>
      <c r="K18" s="6" t="n">
        <f aca="false">Costeo!C15</f>
        <v>9.85043181818182</v>
      </c>
      <c r="L18" s="6" t="n">
        <f aca="false">Costeo!D15</f>
        <v>9.34643181818182</v>
      </c>
      <c r="M18" s="13" t="n">
        <f aca="false">IF(H18=0,0,C18*Supuestos!$B$35+H18*Supuestos!$B$27*Supuestos!$C$35+H18/(1+Supuestos!$B$26)*Supuestos!$B$28)</f>
        <v>0</v>
      </c>
      <c r="N18" s="13" t="n">
        <f aca="false">IF(H18=0,0,H18/(1+Supuestos!$B$26)-K18-M18)</f>
        <v>0</v>
      </c>
      <c r="O18" s="13" t="n">
        <f aca="false">IF(H18=0,0,H18/(1+Supuestos!$B$26)-L18-M18)</f>
        <v>0</v>
      </c>
      <c r="P18" s="16" t="n">
        <f aca="false">G18*N18</f>
        <v>0</v>
      </c>
      <c r="Q18" s="16" t="n">
        <f aca="false">G18*O18</f>
        <v>0</v>
      </c>
      <c r="R18" s="12" t="n">
        <f aca="false">IF(H18=0,0,N18/(H18/(1+Supuestos!$B$26)))</f>
        <v>0</v>
      </c>
      <c r="S18" s="12" t="n">
        <f aca="false">IF(H18=0,0,O18/(H18/(1+Supuestos!$B$26)))</f>
        <v>0</v>
      </c>
    </row>
    <row r="19" customFormat="false" ht="15" hidden="false" customHeight="false" outlineLevel="0" collapsed="false">
      <c r="A19" s="4" t="s">
        <v>134</v>
      </c>
      <c r="B19" s="4" t="s">
        <v>35</v>
      </c>
      <c r="C19" s="34" t="n">
        <f aca="false">Costeo!E5</f>
        <v>12</v>
      </c>
      <c r="D19" s="8" t="n">
        <f aca="false">Mensual!$N$17</f>
        <v>9165</v>
      </c>
      <c r="E19" s="7" t="n">
        <f aca="false">Supuestos!D51</f>
        <v>0</v>
      </c>
      <c r="F19" s="15" t="n">
        <f aca="false">D19*E19</f>
        <v>0</v>
      </c>
      <c r="G19" s="15" t="n">
        <f aca="false">IF(C19=0,0,F19/C19)</f>
        <v>0</v>
      </c>
      <c r="H19" s="6" t="n">
        <f aca="false">Supuestos!D43</f>
        <v>0</v>
      </c>
      <c r="I19" s="16" t="n">
        <f aca="false">G19*H19</f>
        <v>0</v>
      </c>
      <c r="J19" s="16" t="n">
        <f aca="false">I19/(1+Supuestos!$B$26)</f>
        <v>0</v>
      </c>
      <c r="K19" s="6" t="n">
        <f aca="false">Costeo!E15</f>
        <v>18.5248636363636</v>
      </c>
      <c r="L19" s="6" t="n">
        <f aca="false">Costeo!E15</f>
        <v>18.5248636363636</v>
      </c>
      <c r="M19" s="13" t="n">
        <f aca="false">IF(H19=0,0,C19*Supuestos!$B$35+H19*Supuestos!$B$27*Supuestos!$C$35+H19/(1+Supuestos!$B$26)*Supuestos!$B$28)</f>
        <v>0</v>
      </c>
      <c r="N19" s="13" t="n">
        <f aca="false">IF(H19=0,0,H19/(1+Supuestos!$B$26)-K19-M19)</f>
        <v>0</v>
      </c>
      <c r="O19" s="13" t="n">
        <f aca="false">IF(H19=0,0,H19/(1+Supuestos!$B$26)-L19-M19)</f>
        <v>0</v>
      </c>
      <c r="P19" s="16" t="n">
        <f aca="false">G19*N19</f>
        <v>0</v>
      </c>
      <c r="Q19" s="16" t="n">
        <f aca="false">G19*O19</f>
        <v>0</v>
      </c>
      <c r="R19" s="12" t="n">
        <f aca="false">IF(H19=0,0,N19/(H19/(1+Supuestos!$B$26)))</f>
        <v>0</v>
      </c>
      <c r="S19" s="12" t="n">
        <f aca="false">IF(H19=0,0,O19/(H19/(1+Supuestos!$B$26)))</f>
        <v>0</v>
      </c>
    </row>
    <row r="20" customFormat="false" ht="15" hidden="false" customHeight="false" outlineLevel="0" collapsed="false">
      <c r="A20" s="4" t="s">
        <v>134</v>
      </c>
      <c r="B20" s="4" t="s">
        <v>36</v>
      </c>
      <c r="C20" s="34" t="n">
        <f aca="false">Costeo!F5</f>
        <v>3</v>
      </c>
      <c r="D20" s="8" t="n">
        <f aca="false">Mensual!$N$17</f>
        <v>9165</v>
      </c>
      <c r="E20" s="7" t="n">
        <f aca="false">Supuestos!E51</f>
        <v>0</v>
      </c>
      <c r="F20" s="15" t="n">
        <f aca="false">D20*E20</f>
        <v>0</v>
      </c>
      <c r="G20" s="15" t="n">
        <f aca="false">IF(C20=0,0,F20/C20)</f>
        <v>0</v>
      </c>
      <c r="H20" s="6" t="n">
        <f aca="false">Supuestos!E43</f>
        <v>0</v>
      </c>
      <c r="I20" s="16" t="n">
        <f aca="false">G20*H20</f>
        <v>0</v>
      </c>
      <c r="J20" s="16" t="n">
        <f aca="false">I20/(1+Supuestos!$B$26)</f>
        <v>0</v>
      </c>
      <c r="K20" s="6" t="n">
        <f aca="false">Costeo!F15</f>
        <v>5.02496590909091</v>
      </c>
      <c r="L20" s="6" t="n">
        <f aca="false">Costeo!F15</f>
        <v>5.02496590909091</v>
      </c>
      <c r="M20" s="13" t="n">
        <f aca="false">IF(H20=0,0,C20*Supuestos!$B$35+H20*Supuestos!$B$27*Supuestos!$C$35+H20/(1+Supuestos!$B$26)*Supuestos!$B$28)</f>
        <v>0</v>
      </c>
      <c r="N20" s="13" t="n">
        <f aca="false">IF(H20=0,0,H20/(1+Supuestos!$B$26)-K20-M20)</f>
        <v>0</v>
      </c>
      <c r="O20" s="13" t="n">
        <f aca="false">IF(H20=0,0,H20/(1+Supuestos!$B$26)-L20-M20)</f>
        <v>0</v>
      </c>
      <c r="P20" s="16" t="n">
        <f aca="false">G20*N20</f>
        <v>0</v>
      </c>
      <c r="Q20" s="16" t="n">
        <f aca="false">G20*O20</f>
        <v>0</v>
      </c>
      <c r="R20" s="12" t="n">
        <f aca="false">IF(H20=0,0,N20/(H20/(1+Supuestos!$B$26)))</f>
        <v>0</v>
      </c>
      <c r="S20" s="12" t="n">
        <f aca="false">IF(H20=0,0,O20/(H20/(1+Supuestos!$B$26)))</f>
        <v>0</v>
      </c>
    </row>
    <row r="21" customFormat="false" ht="15" hidden="false" customHeight="false" outlineLevel="0" collapsed="false">
      <c r="A21" s="4" t="s">
        <v>136</v>
      </c>
      <c r="B21" s="4" t="s">
        <v>32</v>
      </c>
      <c r="C21" s="34" t="n">
        <f aca="false">Costeo!B5</f>
        <v>1</v>
      </c>
      <c r="D21" s="8" t="n">
        <f aca="false">Mensual!$N$18</f>
        <v>3720</v>
      </c>
      <c r="E21" s="7" t="n">
        <f aca="false">Supuestos!B52</f>
        <v>0</v>
      </c>
      <c r="F21" s="15" t="n">
        <f aca="false">D21*E21</f>
        <v>0</v>
      </c>
      <c r="G21" s="15" t="n">
        <f aca="false">IF(C21=0,0,F21/C21)</f>
        <v>0</v>
      </c>
      <c r="H21" s="6" t="n">
        <f aca="false">Supuestos!B44</f>
        <v>0</v>
      </c>
      <c r="I21" s="16" t="n">
        <f aca="false">G21*H21</f>
        <v>0</v>
      </c>
      <c r="J21" s="16" t="n">
        <f aca="false">I21/(1+Supuestos!$B$26)</f>
        <v>0</v>
      </c>
      <c r="K21" s="6" t="n">
        <f aca="false">Costeo!B15</f>
        <v>1.72048863636364</v>
      </c>
      <c r="L21" s="6" t="n">
        <f aca="false">Costeo!B15</f>
        <v>1.72048863636364</v>
      </c>
      <c r="M21" s="13" t="n">
        <f aca="false">IF(H21=0,0,C21*Supuestos!$B$36+H21*Supuestos!$B$27*Supuestos!$C$36+H21/(1+Supuestos!$B$26)*Supuestos!$B$28)</f>
        <v>0</v>
      </c>
      <c r="N21" s="13" t="n">
        <f aca="false">IF(H21=0,0,H21/(1+Supuestos!$B$26)-K21-M21)</f>
        <v>0</v>
      </c>
      <c r="O21" s="13" t="n">
        <f aca="false">IF(H21=0,0,H21/(1+Supuestos!$B$26)-L21-M21)</f>
        <v>0</v>
      </c>
      <c r="P21" s="16" t="n">
        <f aca="false">G21*N21</f>
        <v>0</v>
      </c>
      <c r="Q21" s="16" t="n">
        <f aca="false">G21*O21</f>
        <v>0</v>
      </c>
      <c r="R21" s="12" t="n">
        <f aca="false">IF(H21=0,0,N21/(H21/(1+Supuestos!$B$26)))</f>
        <v>0</v>
      </c>
      <c r="S21" s="12" t="n">
        <f aca="false">IF(H21=0,0,O21/(H21/(1+Supuestos!$B$26)))</f>
        <v>0</v>
      </c>
    </row>
    <row r="22" customFormat="false" ht="15" hidden="false" customHeight="false" outlineLevel="0" collapsed="false">
      <c r="A22" s="4" t="s">
        <v>136</v>
      </c>
      <c r="B22" s="4" t="s">
        <v>139</v>
      </c>
      <c r="C22" s="34" t="n">
        <f aca="false">Costeo!C5</f>
        <v>6</v>
      </c>
      <c r="D22" s="8" t="n">
        <f aca="false">Mensual!$N$18</f>
        <v>3720</v>
      </c>
      <c r="E22" s="7" t="n">
        <f aca="false">Supuestos!C52</f>
        <v>1</v>
      </c>
      <c r="F22" s="15" t="n">
        <f aca="false">D22*E22</f>
        <v>3720</v>
      </c>
      <c r="G22" s="15" t="n">
        <f aca="false">IF(C22=0,0,F22/C22)</f>
        <v>620</v>
      </c>
      <c r="H22" s="6" t="n">
        <f aca="false">Supuestos!C44</f>
        <v>18.5</v>
      </c>
      <c r="I22" s="16" t="n">
        <f aca="false">G22*H22</f>
        <v>11470</v>
      </c>
      <c r="J22" s="16" t="n">
        <f aca="false">I22/(1+Supuestos!$B$26)</f>
        <v>9720.33898305085</v>
      </c>
      <c r="K22" s="6" t="n">
        <f aca="false">Costeo!C15</f>
        <v>9.85043181818182</v>
      </c>
      <c r="L22" s="6" t="n">
        <f aca="false">Costeo!D15</f>
        <v>9.34643181818182</v>
      </c>
      <c r="M22" s="13" t="n">
        <f aca="false">IF(H22=0,0,C22*Supuestos!$B$36+H22*Supuestos!$B$27*Supuestos!$C$36+H22/(1+Supuestos!$B$26)*Supuestos!$B$28)</f>
        <v>1.05677966101695</v>
      </c>
      <c r="N22" s="13" t="n">
        <f aca="false">IF(H22=0,0,H22/(1+Supuestos!$B$26)-K22-M22)</f>
        <v>4.77075462249615</v>
      </c>
      <c r="O22" s="13" t="n">
        <f aca="false">IF(H22=0,0,H22/(1+Supuestos!$B$26)-L22-M22)</f>
        <v>5.27475462249615</v>
      </c>
      <c r="P22" s="16" t="n">
        <f aca="false">G22*N22</f>
        <v>2957.86786594761</v>
      </c>
      <c r="Q22" s="16" t="n">
        <f aca="false">G22*O22</f>
        <v>3270.34786594761</v>
      </c>
      <c r="R22" s="12" t="n">
        <f aca="false">IF(H22=0,0,N22/(H22/(1+Supuestos!$B$26)))</f>
        <v>0.304296781326781</v>
      </c>
      <c r="S22" s="12" t="n">
        <f aca="false">IF(H22=0,0,O22/(H22/(1+Supuestos!$B$26)))</f>
        <v>0.336443808353808</v>
      </c>
    </row>
    <row r="23" customFormat="false" ht="15" hidden="false" customHeight="false" outlineLevel="0" collapsed="false">
      <c r="A23" s="4" t="s">
        <v>136</v>
      </c>
      <c r="B23" s="4" t="s">
        <v>35</v>
      </c>
      <c r="C23" s="34" t="n">
        <f aca="false">Costeo!E5</f>
        <v>12</v>
      </c>
      <c r="D23" s="8" t="n">
        <f aca="false">Mensual!$N$18</f>
        <v>3720</v>
      </c>
      <c r="E23" s="7" t="n">
        <f aca="false">Supuestos!D52</f>
        <v>0</v>
      </c>
      <c r="F23" s="15" t="n">
        <f aca="false">D23*E23</f>
        <v>0</v>
      </c>
      <c r="G23" s="15" t="n">
        <f aca="false">IF(C23=0,0,F23/C23)</f>
        <v>0</v>
      </c>
      <c r="H23" s="6" t="n">
        <f aca="false">Supuestos!D44</f>
        <v>0</v>
      </c>
      <c r="I23" s="16" t="n">
        <f aca="false">G23*H23</f>
        <v>0</v>
      </c>
      <c r="J23" s="16" t="n">
        <f aca="false">I23/(1+Supuestos!$B$26)</f>
        <v>0</v>
      </c>
      <c r="K23" s="6" t="n">
        <f aca="false">Costeo!E15</f>
        <v>18.5248636363636</v>
      </c>
      <c r="L23" s="6" t="n">
        <f aca="false">Costeo!E15</f>
        <v>18.5248636363636</v>
      </c>
      <c r="M23" s="13" t="n">
        <f aca="false">IF(H23=0,0,C23*Supuestos!$B$36+H23*Supuestos!$B$27*Supuestos!$C$36+H23/(1+Supuestos!$B$26)*Supuestos!$B$28)</f>
        <v>0</v>
      </c>
      <c r="N23" s="13" t="n">
        <f aca="false">IF(H23=0,0,H23/(1+Supuestos!$B$26)-K23-M23)</f>
        <v>0</v>
      </c>
      <c r="O23" s="13" t="n">
        <f aca="false">IF(H23=0,0,H23/(1+Supuestos!$B$26)-L23-M23)</f>
        <v>0</v>
      </c>
      <c r="P23" s="16" t="n">
        <f aca="false">G23*N23</f>
        <v>0</v>
      </c>
      <c r="Q23" s="16" t="n">
        <f aca="false">G23*O23</f>
        <v>0</v>
      </c>
      <c r="R23" s="12" t="n">
        <f aca="false">IF(H23=0,0,N23/(H23/(1+Supuestos!$B$26)))</f>
        <v>0</v>
      </c>
      <c r="S23" s="12" t="n">
        <f aca="false">IF(H23=0,0,O23/(H23/(1+Supuestos!$B$26)))</f>
        <v>0</v>
      </c>
    </row>
    <row r="24" customFormat="false" ht="15" hidden="false" customHeight="false" outlineLevel="0" collapsed="false">
      <c r="A24" s="4" t="s">
        <v>136</v>
      </c>
      <c r="B24" s="4" t="s">
        <v>36</v>
      </c>
      <c r="C24" s="34" t="n">
        <f aca="false">Costeo!F5</f>
        <v>3</v>
      </c>
      <c r="D24" s="8" t="n">
        <f aca="false">Mensual!$N$18</f>
        <v>3720</v>
      </c>
      <c r="E24" s="7" t="n">
        <f aca="false">Supuestos!E52</f>
        <v>0</v>
      </c>
      <c r="F24" s="15" t="n">
        <f aca="false">D24*E24</f>
        <v>0</v>
      </c>
      <c r="G24" s="15" t="n">
        <f aca="false">IF(C24=0,0,F24/C24)</f>
        <v>0</v>
      </c>
      <c r="H24" s="6" t="n">
        <f aca="false">Supuestos!E44</f>
        <v>0</v>
      </c>
      <c r="I24" s="16" t="n">
        <f aca="false">G24*H24</f>
        <v>0</v>
      </c>
      <c r="J24" s="16" t="n">
        <f aca="false">I24/(1+Supuestos!$B$26)</f>
        <v>0</v>
      </c>
      <c r="K24" s="6" t="n">
        <f aca="false">Costeo!F15</f>
        <v>5.02496590909091</v>
      </c>
      <c r="L24" s="6" t="n">
        <f aca="false">Costeo!F15</f>
        <v>5.02496590909091</v>
      </c>
      <c r="M24" s="13" t="n">
        <f aca="false">IF(H24=0,0,C24*Supuestos!$B$36+H24*Supuestos!$B$27*Supuestos!$C$36+H24/(1+Supuestos!$B$26)*Supuestos!$B$28)</f>
        <v>0</v>
      </c>
      <c r="N24" s="13" t="n">
        <f aca="false">IF(H24=0,0,H24/(1+Supuestos!$B$26)-K24-M24)</f>
        <v>0</v>
      </c>
      <c r="O24" s="13" t="n">
        <f aca="false">IF(H24=0,0,H24/(1+Supuestos!$B$26)-L24-M24)</f>
        <v>0</v>
      </c>
      <c r="P24" s="16" t="n">
        <f aca="false">G24*N24</f>
        <v>0</v>
      </c>
      <c r="Q24" s="16" t="n">
        <f aca="false">G24*O24</f>
        <v>0</v>
      </c>
      <c r="R24" s="12" t="n">
        <f aca="false">IF(H24=0,0,N24/(H24/(1+Supuestos!$B$26)))</f>
        <v>0</v>
      </c>
      <c r="S24" s="12" t="n">
        <f aca="false">IF(H24=0,0,O24/(H24/(1+Supuestos!$B$26)))</f>
        <v>0</v>
      </c>
    </row>
    <row r="25" customFormat="false" ht="15" hidden="false" customHeight="false" outlineLevel="0" collapsed="false">
      <c r="A25" s="10" t="s">
        <v>236</v>
      </c>
      <c r="F25" s="35" t="n">
        <f aca="false">SUM(F5:F24)</f>
        <v>52331</v>
      </c>
      <c r="I25" s="11" t="n">
        <f aca="false">SUM(I5:I24)</f>
        <v>244728.18125</v>
      </c>
      <c r="J25" s="11" t="n">
        <f aca="false">SUM(J5:J24)</f>
        <v>207396.763771186</v>
      </c>
      <c r="P25" s="11" t="n">
        <f aca="false">SUM(P5:P24)</f>
        <v>97293.7449414291</v>
      </c>
      <c r="Q25" s="11" t="n">
        <f aca="false">SUM(Q5:Q24)</f>
        <v>98932.6983414291</v>
      </c>
    </row>
    <row r="28" customFormat="false" ht="15" hidden="false" customHeight="false" outlineLevel="0" collapsed="false">
      <c r="A28" s="20" t="s">
        <v>237</v>
      </c>
      <c r="B28" s="21"/>
      <c r="C28" s="21"/>
      <c r="D28" s="21"/>
      <c r="E28" s="21"/>
      <c r="F28" s="21"/>
      <c r="G28" s="21"/>
      <c r="H28" s="21"/>
    </row>
    <row r="29" customFormat="false" ht="42" hidden="false" customHeight="true" outlineLevel="0" collapsed="false">
      <c r="A29" s="5" t="s">
        <v>124</v>
      </c>
      <c r="B29" s="5" t="s">
        <v>238</v>
      </c>
      <c r="C29" s="5" t="s">
        <v>239</v>
      </c>
      <c r="D29" s="5" t="s">
        <v>240</v>
      </c>
      <c r="E29" s="5" t="s">
        <v>225</v>
      </c>
      <c r="F29" s="5" t="s">
        <v>241</v>
      </c>
      <c r="G29" s="5" t="s">
        <v>242</v>
      </c>
      <c r="H29" s="5" t="s">
        <v>243</v>
      </c>
    </row>
    <row r="30" customFormat="false" ht="15" hidden="false" customHeight="false" outlineLevel="0" collapsed="false">
      <c r="A30" s="4" t="s">
        <v>128</v>
      </c>
      <c r="B30" s="15" t="n">
        <f aca="false">SUMIF($A$5:$A$24,A30,$F$5:$F$24)</f>
        <v>22625</v>
      </c>
      <c r="C30" s="16" t="n">
        <f aca="false">SUMIF($A$5:$A$24,A30,$P$5:$P$24)</f>
        <v>54614.797330027</v>
      </c>
      <c r="D30" s="16" t="n">
        <f aca="false">SUMIF($A$5:$A$24,A30,$Q$5:$Q$24)</f>
        <v>55279.972330027</v>
      </c>
      <c r="E30" s="16" t="n">
        <f aca="false">SUMIF($A$5:$A$24,A30,$I$5:$I$24)</f>
        <v>122033.59375</v>
      </c>
      <c r="F30" s="13" t="n">
        <f aca="false">IF(B30=0,0,C30/B30)</f>
        <v>2.41391369414484</v>
      </c>
      <c r="G30" s="13" t="n">
        <f aca="false">IF(B30=0,0,D30/B30)</f>
        <v>2.44331369414484</v>
      </c>
      <c r="H30" s="13" t="n">
        <f aca="false">IF(B30=0,0,E30/B30)</f>
        <v>5.39375</v>
      </c>
    </row>
    <row r="31" customFormat="false" ht="15" hidden="false" customHeight="false" outlineLevel="0" collapsed="false">
      <c r="A31" s="4" t="s">
        <v>130</v>
      </c>
      <c r="B31" s="15" t="n">
        <f aca="false">SUMIF($A$5:$A$24,A31,$F$5:$F$24)</f>
        <v>7400</v>
      </c>
      <c r="C31" s="16" t="n">
        <f aca="false">SUMIF($A$5:$A$24,A31,$P$5:$P$24)</f>
        <v>18673.8806163328</v>
      </c>
      <c r="D31" s="16" t="n">
        <f aca="false">SUMIF($A$5:$A$24,A31,$Q$5:$Q$24)</f>
        <v>18860.3606163328</v>
      </c>
      <c r="E31" s="16" t="n">
        <f aca="false">SUMIF($A$5:$A$24,A31,$I$5:$I$24)</f>
        <v>41033</v>
      </c>
      <c r="F31" s="13" t="n">
        <f aca="false">IF(B31=0,0,C31/B31)</f>
        <v>2.52349738058552</v>
      </c>
      <c r="G31" s="13" t="n">
        <f aca="false">IF(B31=0,0,D31/B31)</f>
        <v>2.54869738058552</v>
      </c>
      <c r="H31" s="13" t="n">
        <f aca="false">IF(B31=0,0,E31/B31)</f>
        <v>5.545</v>
      </c>
    </row>
    <row r="32" customFormat="false" ht="15" hidden="false" customHeight="false" outlineLevel="0" collapsed="false">
      <c r="A32" s="4" t="s">
        <v>132</v>
      </c>
      <c r="B32" s="15" t="n">
        <f aca="false">SUMIF($A$5:$A$24,A32,$F$5:$F$24)</f>
        <v>9421</v>
      </c>
      <c r="C32" s="16" t="n">
        <f aca="false">SUMIF($A$5:$A$24,A32,$P$5:$P$24)</f>
        <v>13126.2825661402</v>
      </c>
      <c r="D32" s="16" t="n">
        <f aca="false">SUMIF($A$5:$A$24,A32,$Q$5:$Q$24)</f>
        <v>13601.1009661402</v>
      </c>
      <c r="E32" s="16" t="n">
        <f aca="false">SUMIF($A$5:$A$24,A32,$I$5:$I$24)</f>
        <v>40863.5875</v>
      </c>
      <c r="F32" s="13" t="n">
        <f aca="false">IF(B32=0,0,C32/B32)</f>
        <v>1.39330034668721</v>
      </c>
      <c r="G32" s="13" t="n">
        <f aca="false">IF(B32=0,0,D32/B32)</f>
        <v>1.44370034668721</v>
      </c>
      <c r="H32" s="13" t="n">
        <f aca="false">IF(B32=0,0,E32/B32)</f>
        <v>4.3375</v>
      </c>
    </row>
    <row r="33" customFormat="false" ht="15" hidden="false" customHeight="false" outlineLevel="0" collapsed="false">
      <c r="A33" s="4" t="s">
        <v>134</v>
      </c>
      <c r="B33" s="15" t="n">
        <f aca="false">SUMIF($A$5:$A$24,A33,$F$5:$F$24)</f>
        <v>9165</v>
      </c>
      <c r="C33" s="16" t="n">
        <f aca="false">SUMIF($A$5:$A$24,A33,$P$5:$P$24)</f>
        <v>7920.91656298151</v>
      </c>
      <c r="D33" s="16" t="n">
        <f aca="false">SUMIF($A$5:$A$24,A33,$Q$5:$Q$24)</f>
        <v>7920.91656298151</v>
      </c>
      <c r="E33" s="16" t="n">
        <f aca="false">SUMIF($A$5:$A$24,A33,$I$5:$I$24)</f>
        <v>29328</v>
      </c>
      <c r="F33" s="13" t="n">
        <f aca="false">IF(B33=0,0,C33/B33)</f>
        <v>0.864257126348228</v>
      </c>
      <c r="G33" s="13" t="n">
        <f aca="false">IF(B33=0,0,D33/B33)</f>
        <v>0.864257126348228</v>
      </c>
      <c r="H33" s="13" t="n">
        <f aca="false">IF(B33=0,0,E33/B33)</f>
        <v>3.2</v>
      </c>
    </row>
    <row r="34" customFormat="false" ht="15" hidden="false" customHeight="false" outlineLevel="0" collapsed="false">
      <c r="A34" s="4" t="s">
        <v>136</v>
      </c>
      <c r="B34" s="15" t="n">
        <f aca="false">SUMIF($A$5:$A$24,A34,$F$5:$F$24)</f>
        <v>3720</v>
      </c>
      <c r="C34" s="16" t="n">
        <f aca="false">SUMIF($A$5:$A$24,A34,$P$5:$P$24)</f>
        <v>2957.86786594761</v>
      </c>
      <c r="D34" s="16" t="n">
        <f aca="false">SUMIF($A$5:$A$24,A34,$Q$5:$Q$24)</f>
        <v>3270.34786594761</v>
      </c>
      <c r="E34" s="16" t="n">
        <f aca="false">SUMIF($A$5:$A$24,A34,$I$5:$I$24)</f>
        <v>11470</v>
      </c>
      <c r="F34" s="13" t="n">
        <f aca="false">IF(B34=0,0,C34/B34)</f>
        <v>0.795125770416025</v>
      </c>
      <c r="G34" s="13" t="n">
        <f aca="false">IF(B34=0,0,D34/B34)</f>
        <v>0.879125770416025</v>
      </c>
      <c r="H34" s="13" t="n">
        <f aca="false">IF(B34=0,0,E34/B34)</f>
        <v>3.08333333333333</v>
      </c>
    </row>
    <row r="35" customFormat="false" ht="15" hidden="false" customHeight="false" outlineLevel="0" collapsed="false">
      <c r="A35" s="10" t="s">
        <v>236</v>
      </c>
      <c r="B35" s="35" t="n">
        <f aca="false">SUM(B30:B34)</f>
        <v>52331</v>
      </c>
      <c r="C35" s="11" t="n">
        <f aca="false">SUM(C30:C34)</f>
        <v>97293.7449414291</v>
      </c>
      <c r="D35" s="11" t="n">
        <f aca="false">SUM(D30:D34)</f>
        <v>98932.6983414291</v>
      </c>
      <c r="E35" s="11" t="n">
        <f aca="false">SUM(E30:E34)</f>
        <v>244728.18125</v>
      </c>
      <c r="F35" s="33" t="n">
        <f aca="false">IF(B35=0,0,C35/B35)</f>
        <v>1.85919903960232</v>
      </c>
      <c r="G35" s="33" t="n">
        <f aca="false">IF(B35=0,0,D35/B35)</f>
        <v>1.89051801688156</v>
      </c>
      <c r="H35" s="33" t="n">
        <f aca="false">IF(B35=0,0,E35/B35)</f>
        <v>4.67654318186161</v>
      </c>
    </row>
    <row r="37" customFormat="false" ht="15" hidden="false" customHeight="false" outlineLevel="0" collapsed="false">
      <c r="A37" s="20" t="s">
        <v>244</v>
      </c>
      <c r="B37" s="21"/>
      <c r="C37" s="21"/>
      <c r="D37" s="21"/>
      <c r="E37" s="21"/>
      <c r="F37" s="21"/>
      <c r="G37" s="21"/>
      <c r="H37" s="21"/>
    </row>
    <row r="38" customFormat="false" ht="30" hidden="false" customHeight="true" outlineLevel="0" collapsed="false">
      <c r="A38" s="5" t="s">
        <v>25</v>
      </c>
      <c r="B38" s="5" t="s">
        <v>238</v>
      </c>
      <c r="C38" s="5" t="s">
        <v>223</v>
      </c>
      <c r="D38" s="5" t="s">
        <v>225</v>
      </c>
      <c r="E38" s="5" t="s">
        <v>239</v>
      </c>
      <c r="F38" s="5" t="s">
        <v>240</v>
      </c>
      <c r="G38" s="5" t="s">
        <v>173</v>
      </c>
      <c r="H38" s="5"/>
    </row>
    <row r="39" customFormat="false" ht="15" hidden="false" customHeight="false" outlineLevel="0" collapsed="false">
      <c r="A39" s="4" t="s">
        <v>32</v>
      </c>
      <c r="B39" s="15" t="n">
        <f aca="false">SUMIF($B$5:$B$24,A39,$F$5:$F$24)</f>
        <v>24917.5</v>
      </c>
      <c r="C39" s="15" t="n">
        <f aca="false">SUMIF($B$5:$B$24,A39,$G$5:$G$24)</f>
        <v>24917.5</v>
      </c>
      <c r="D39" s="16" t="n">
        <f aca="false">SUMIF($B$5:$B$24,A39,$I$5:$I$24)</f>
        <v>123843</v>
      </c>
      <c r="E39" s="16" t="n">
        <f aca="false">SUMIF($B$5:$B$24,A39,$P$5:$P$24)</f>
        <v>53026.7773695108</v>
      </c>
      <c r="F39" s="16" t="n">
        <f aca="false">SUMIF($B$5:$B$24,A39,$Q$5:$Q$24)</f>
        <v>53026.7773695108</v>
      </c>
      <c r="G39" s="12" t="n">
        <f aca="false">IF($F$25=0,0,B39/$F$25)</f>
        <v>0.476151802946628</v>
      </c>
    </row>
    <row r="40" customFormat="false" ht="15" hidden="false" customHeight="false" outlineLevel="0" collapsed="false">
      <c r="A40" s="4" t="s">
        <v>139</v>
      </c>
      <c r="B40" s="15" t="n">
        <f aca="false">SUMIF($B$5:$B$24,A40,$F$5:$F$24)</f>
        <v>19511.35</v>
      </c>
      <c r="C40" s="15" t="n">
        <f aca="false">SUMIF($B$5:$B$24,A40,$G$5:$G$24)</f>
        <v>3251.89166666667</v>
      </c>
      <c r="D40" s="16" t="n">
        <f aca="false">SUMIF($B$5:$B$24,A40,$I$5:$I$24)</f>
        <v>83957.6775</v>
      </c>
      <c r="E40" s="16" t="n">
        <f aca="false">SUMIF($B$5:$B$24,A40,$P$5:$P$24)</f>
        <v>30110.1384434033</v>
      </c>
      <c r="F40" s="16" t="n">
        <f aca="false">SUMIF($B$5:$B$24,A40,$Q$5:$Q$24)</f>
        <v>31749.0918434033</v>
      </c>
      <c r="G40" s="12" t="n">
        <f aca="false">IF($F$25=0,0,B40/$F$25)</f>
        <v>0.372844967610021</v>
      </c>
    </row>
    <row r="41" customFormat="false" ht="15" hidden="false" customHeight="false" outlineLevel="0" collapsed="false">
      <c r="A41" s="4" t="s">
        <v>35</v>
      </c>
      <c r="B41" s="15" t="n">
        <f aca="false">SUMIF($B$5:$B$24,A41,$F$5:$F$24)</f>
        <v>3957.55</v>
      </c>
      <c r="C41" s="15" t="n">
        <f aca="false">SUMIF($B$5:$B$24,A41,$G$5:$G$24)</f>
        <v>329.795833333333</v>
      </c>
      <c r="D41" s="16" t="n">
        <f aca="false">SUMIF($B$5:$B$24,A41,$I$5:$I$24)</f>
        <v>16645.35375</v>
      </c>
      <c r="E41" s="16" t="n">
        <f aca="false">SUMIF($B$5:$B$24,A41,$P$5:$P$24)</f>
        <v>5637.79871876926</v>
      </c>
      <c r="F41" s="16" t="n">
        <f aca="false">SUMIF($B$5:$B$24,A41,$Q$5:$Q$24)</f>
        <v>5637.79871876926</v>
      </c>
      <c r="G41" s="12" t="n">
        <f aca="false">IF($F$25=0,0,B41/$F$25)</f>
        <v>0.0756253463530221</v>
      </c>
    </row>
    <row r="42" customFormat="false" ht="15" hidden="false" customHeight="false" outlineLevel="0" collapsed="false">
      <c r="A42" s="4" t="s">
        <v>36</v>
      </c>
      <c r="B42" s="15" t="n">
        <f aca="false">SUMIF($B$5:$B$24,A42,$F$5:$F$24)</f>
        <v>3944.6</v>
      </c>
      <c r="C42" s="15" t="n">
        <f aca="false">SUMIF($B$5:$B$24,A42,$G$5:$G$24)</f>
        <v>1314.86666666667</v>
      </c>
      <c r="D42" s="16" t="n">
        <f aca="false">SUMIF($B$5:$B$24,A42,$I$5:$I$24)</f>
        <v>20282.15</v>
      </c>
      <c r="E42" s="16" t="n">
        <f aca="false">SUMIF($B$5:$B$24,A42,$P$5:$P$24)</f>
        <v>8519.03040974576</v>
      </c>
      <c r="F42" s="16" t="n">
        <f aca="false">SUMIF($B$5:$B$24,A42,$Q$5:$Q$24)</f>
        <v>8519.03040974576</v>
      </c>
      <c r="G42" s="12" t="n">
        <f aca="false">IF($F$25=0,0,B42/$F$25)</f>
        <v>0.0753778830903289</v>
      </c>
    </row>
    <row r="44" customFormat="false" ht="15" hidden="false" customHeight="false" outlineLevel="0" collapsed="false">
      <c r="A44" s="20" t="s">
        <v>245</v>
      </c>
      <c r="B44" s="21"/>
      <c r="C44" s="21"/>
      <c r="D44" s="21"/>
      <c r="E44" s="21"/>
      <c r="F44" s="21"/>
      <c r="G44" s="21"/>
      <c r="H44" s="21"/>
    </row>
    <row r="45" customFormat="false" ht="26.85" hidden="false" customHeight="false" outlineLevel="0" collapsed="false">
      <c r="A45" s="5" t="s">
        <v>189</v>
      </c>
      <c r="B45" s="5" t="s">
        <v>173</v>
      </c>
      <c r="C45" s="5" t="s">
        <v>246</v>
      </c>
      <c r="D45" s="5"/>
      <c r="E45" s="5"/>
      <c r="F45" s="5"/>
      <c r="G45" s="5"/>
      <c r="H45" s="5"/>
    </row>
    <row r="46" customFormat="false" ht="15" hidden="false" customHeight="false" outlineLevel="0" collapsed="false">
      <c r="A46" s="36" t="str">
        <f aca="false">Supuestos!A79</f>
        <v>Chispa (choco clásico con chispas)</v>
      </c>
      <c r="B46" s="7" t="n">
        <f aca="false">Supuestos!B79</f>
        <v>0.4</v>
      </c>
      <c r="C46" s="15" t="n">
        <f aca="false">$F$25*B46</f>
        <v>20932.4</v>
      </c>
    </row>
    <row r="47" customFormat="false" ht="15" hidden="false" customHeight="false" outlineLevel="0" collapsed="false">
      <c r="A47" s="36" t="str">
        <f aca="false">Supuestos!A80</f>
        <v>Andi (choco, plátano, canela y cañihua)</v>
      </c>
      <c r="B47" s="7" t="n">
        <f aca="false">Supuestos!B80</f>
        <v>0.35</v>
      </c>
      <c r="C47" s="15" t="n">
        <f aca="false">$F$25*B47</f>
        <v>18315.85</v>
      </c>
    </row>
    <row r="48" customFormat="false" ht="15" hidden="false" customHeight="false" outlineLevel="0" collapsed="false">
      <c r="A48" s="36" t="str">
        <f aca="false">Supuestos!A81</f>
        <v>Lúcu (choco y lúcuma)</v>
      </c>
      <c r="B48" s="7" t="n">
        <f aca="false">Supuestos!B81</f>
        <v>0.25</v>
      </c>
      <c r="C48" s="15" t="n">
        <f aca="false">$F$25*B48</f>
        <v>13082.75</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2"/>
    <col collapsed="false" customWidth="true" hidden="false" outlineLevel="0" max="2" min="2" style="0" width="16"/>
    <col collapsed="false" customWidth="true" hidden="false" outlineLevel="0" max="3" min="3" style="0" width="80"/>
  </cols>
  <sheetData>
    <row r="1" customFormat="false" ht="17.35" hidden="false" customHeight="false" outlineLevel="0" collapsed="false">
      <c r="A1" s="1" t="s">
        <v>247</v>
      </c>
    </row>
    <row r="2" customFormat="false" ht="15" hidden="false" customHeight="false" outlineLevel="0" collapsed="false">
      <c r="A2" s="4" t="s">
        <v>248</v>
      </c>
    </row>
    <row r="4" customFormat="false" ht="15" hidden="false" customHeight="false" outlineLevel="0" collapsed="false">
      <c r="A4" s="5" t="s">
        <v>78</v>
      </c>
      <c r="B4" s="5" t="s">
        <v>249</v>
      </c>
      <c r="C4" s="5" t="s">
        <v>81</v>
      </c>
    </row>
    <row r="5" customFormat="false" ht="15" hidden="false" customHeight="false" outlineLevel="0" collapsed="false">
      <c r="A5" s="20" t="s">
        <v>250</v>
      </c>
      <c r="B5" s="21"/>
      <c r="C5" s="21"/>
    </row>
    <row r="6" customFormat="false" ht="15" hidden="false" customHeight="false" outlineLevel="0" collapsed="false">
      <c r="A6" s="4" t="s">
        <v>251</v>
      </c>
      <c r="B6" s="29" t="n">
        <v>150</v>
      </c>
      <c r="C6" s="4" t="s">
        <v>252</v>
      </c>
    </row>
    <row r="7" customFormat="false" ht="15" hidden="false" customHeight="false" outlineLevel="0" collapsed="false">
      <c r="A7" s="4" t="s">
        <v>253</v>
      </c>
      <c r="B7" s="29" t="n">
        <v>0</v>
      </c>
      <c r="C7" s="4" t="s">
        <v>254</v>
      </c>
    </row>
    <row r="8" customFormat="false" ht="15" hidden="false" customHeight="false" outlineLevel="0" collapsed="false">
      <c r="A8" s="4" t="s">
        <v>255</v>
      </c>
      <c r="B8" s="29" t="n">
        <v>401.2</v>
      </c>
      <c r="C8" s="4" t="s">
        <v>256</v>
      </c>
    </row>
    <row r="9" customFormat="false" ht="15" hidden="false" customHeight="false" outlineLevel="0" collapsed="false">
      <c r="A9" s="4" t="s">
        <v>257</v>
      </c>
      <c r="B9" s="29" t="n">
        <v>400</v>
      </c>
      <c r="C9" s="4" t="s">
        <v>252</v>
      </c>
    </row>
    <row r="10" customFormat="false" ht="15" hidden="false" customHeight="false" outlineLevel="0" collapsed="false">
      <c r="A10" s="4" t="s">
        <v>258</v>
      </c>
      <c r="B10" s="29" t="n">
        <v>1800</v>
      </c>
      <c r="C10" s="4" t="s">
        <v>252</v>
      </c>
    </row>
    <row r="11" customFormat="false" ht="15" hidden="false" customHeight="false" outlineLevel="0" collapsed="false">
      <c r="A11" s="4" t="s">
        <v>259</v>
      </c>
      <c r="B11" s="29" t="n">
        <v>1125</v>
      </c>
      <c r="C11" s="4" t="s">
        <v>252</v>
      </c>
    </row>
    <row r="12" customFormat="false" ht="15" hidden="false" customHeight="false" outlineLevel="0" collapsed="false">
      <c r="A12" s="4" t="s">
        <v>260</v>
      </c>
      <c r="B12" s="29" t="n">
        <v>1050</v>
      </c>
      <c r="C12" s="4" t="s">
        <v>252</v>
      </c>
    </row>
    <row r="13" customFormat="false" ht="15" hidden="false" customHeight="false" outlineLevel="0" collapsed="false">
      <c r="A13" s="4" t="s">
        <v>261</v>
      </c>
      <c r="B13" s="29" t="n">
        <v>650</v>
      </c>
      <c r="C13" s="4" t="s">
        <v>252</v>
      </c>
    </row>
    <row r="14" customFormat="false" ht="15" hidden="false" customHeight="false" outlineLevel="0" collapsed="false">
      <c r="A14" s="4" t="s">
        <v>262</v>
      </c>
      <c r="B14" s="29" t="n">
        <v>0</v>
      </c>
      <c r="C14" s="4" t="s">
        <v>263</v>
      </c>
    </row>
    <row r="15" customFormat="false" ht="15" hidden="false" customHeight="false" outlineLevel="0" collapsed="false">
      <c r="A15" s="4" t="s">
        <v>264</v>
      </c>
      <c r="B15" s="29" t="n">
        <v>0</v>
      </c>
      <c r="C15" s="4" t="s">
        <v>265</v>
      </c>
    </row>
    <row r="16" customFormat="false" ht="15" hidden="false" customHeight="false" outlineLevel="0" collapsed="false">
      <c r="A16" s="4" t="s">
        <v>266</v>
      </c>
      <c r="B16" s="37" t="n">
        <v>600</v>
      </c>
      <c r="C16" s="4" t="s">
        <v>267</v>
      </c>
    </row>
    <row r="17" customFormat="false" ht="15" hidden="false" customHeight="false" outlineLevel="0" collapsed="false">
      <c r="A17" s="10" t="s">
        <v>268</v>
      </c>
      <c r="B17" s="33" t="n">
        <f aca="false">SUM(B6:B16)</f>
        <v>6176.2</v>
      </c>
    </row>
    <row r="18" customFormat="false" ht="15" hidden="false" customHeight="false" outlineLevel="0" collapsed="false">
      <c r="A18" s="20" t="s">
        <v>269</v>
      </c>
      <c r="B18" s="21"/>
      <c r="C18" s="21"/>
    </row>
    <row r="19" customFormat="false" ht="15" hidden="false" customHeight="false" outlineLevel="0" collapsed="false">
      <c r="A19" s="4" t="s">
        <v>270</v>
      </c>
      <c r="B19" s="29" t="n">
        <v>942.81</v>
      </c>
      <c r="C19" s="4" t="s">
        <v>271</v>
      </c>
    </row>
    <row r="20" customFormat="false" ht="15" hidden="false" customHeight="false" outlineLevel="0" collapsed="false">
      <c r="A20" s="4" t="s">
        <v>272</v>
      </c>
      <c r="B20" s="29" t="n">
        <v>148</v>
      </c>
      <c r="C20" s="4" t="s">
        <v>252</v>
      </c>
    </row>
    <row r="21" customFormat="false" ht="15" hidden="false" customHeight="false" outlineLevel="0" collapsed="false">
      <c r="A21" s="4" t="s">
        <v>273</v>
      </c>
      <c r="B21" s="29" t="n">
        <v>750</v>
      </c>
      <c r="C21" s="4" t="s">
        <v>252</v>
      </c>
    </row>
    <row r="22" customFormat="false" ht="15" hidden="false" customHeight="false" outlineLevel="0" collapsed="false">
      <c r="A22" s="4" t="s">
        <v>274</v>
      </c>
      <c r="B22" s="29" t="n">
        <v>150</v>
      </c>
      <c r="C22" s="4" t="s">
        <v>252</v>
      </c>
    </row>
    <row r="23" customFormat="false" ht="15" hidden="false" customHeight="false" outlineLevel="0" collapsed="false">
      <c r="A23" s="4" t="s">
        <v>275</v>
      </c>
      <c r="B23" s="37" t="n">
        <v>1750</v>
      </c>
      <c r="C23" s="4" t="s">
        <v>276</v>
      </c>
    </row>
    <row r="24" customFormat="false" ht="15" hidden="false" customHeight="false" outlineLevel="0" collapsed="false">
      <c r="A24" s="10" t="s">
        <v>277</v>
      </c>
      <c r="B24" s="33" t="n">
        <f aca="false">SUM(B19:B23)</f>
        <v>3740.81</v>
      </c>
    </row>
    <row r="25" customFormat="false" ht="15" hidden="false" customHeight="false" outlineLevel="0" collapsed="false">
      <c r="A25" s="20" t="s">
        <v>278</v>
      </c>
      <c r="B25" s="21"/>
      <c r="C25" s="21"/>
    </row>
    <row r="26" customFormat="false" ht="15" hidden="false" customHeight="false" outlineLevel="0" collapsed="false">
      <c r="A26" s="4" t="s">
        <v>279</v>
      </c>
      <c r="B26" s="29" t="n">
        <v>800</v>
      </c>
      <c r="C26" s="4" t="s">
        <v>252</v>
      </c>
    </row>
    <row r="27" customFormat="false" ht="15" hidden="false" customHeight="false" outlineLevel="0" collapsed="false">
      <c r="A27" s="4" t="s">
        <v>280</v>
      </c>
      <c r="B27" s="29" t="n">
        <v>300</v>
      </c>
      <c r="C27" s="4" t="s">
        <v>252</v>
      </c>
    </row>
    <row r="28" customFormat="false" ht="15" hidden="false" customHeight="false" outlineLevel="0" collapsed="false">
      <c r="A28" s="4" t="s">
        <v>281</v>
      </c>
      <c r="B28" s="29" t="n">
        <v>2150</v>
      </c>
      <c r="C28" s="4" t="s">
        <v>282</v>
      </c>
    </row>
    <row r="29" customFormat="false" ht="15" hidden="false" customHeight="false" outlineLevel="0" collapsed="false">
      <c r="A29" s="10" t="s">
        <v>283</v>
      </c>
      <c r="B29" s="33" t="n">
        <f aca="false">SUM(B26:B28)</f>
        <v>3250</v>
      </c>
    </row>
    <row r="30" customFormat="false" ht="15" hidden="false" customHeight="false" outlineLevel="0" collapsed="false">
      <c r="A30" s="20" t="s">
        <v>284</v>
      </c>
      <c r="B30" s="21"/>
      <c r="C30" s="21"/>
    </row>
    <row r="31" customFormat="false" ht="15" hidden="false" customHeight="false" outlineLevel="0" collapsed="false">
      <c r="A31" s="4" t="s">
        <v>285</v>
      </c>
      <c r="B31" s="29" t="n">
        <v>3150</v>
      </c>
      <c r="C31" s="4" t="s">
        <v>286</v>
      </c>
    </row>
    <row r="32" customFormat="false" ht="15" hidden="false" customHeight="false" outlineLevel="0" collapsed="false">
      <c r="A32" s="4" t="s">
        <v>287</v>
      </c>
      <c r="B32" s="29" t="n">
        <v>4800.7</v>
      </c>
      <c r="C32" s="4" t="s">
        <v>288</v>
      </c>
    </row>
    <row r="33" customFormat="false" ht="15" hidden="false" customHeight="false" outlineLevel="0" collapsed="false">
      <c r="A33" s="4" t="s">
        <v>289</v>
      </c>
      <c r="B33" s="29" t="n">
        <v>3204</v>
      </c>
      <c r="C33" s="4" t="s">
        <v>252</v>
      </c>
    </row>
    <row r="34" customFormat="false" ht="15" hidden="false" customHeight="false" outlineLevel="0" collapsed="false">
      <c r="A34" s="4" t="s">
        <v>290</v>
      </c>
      <c r="B34" s="29" t="n">
        <v>8000</v>
      </c>
      <c r="C34" s="4" t="s">
        <v>252</v>
      </c>
    </row>
    <row r="35" customFormat="false" ht="15" hidden="false" customHeight="false" outlineLevel="0" collapsed="false">
      <c r="A35" s="10" t="s">
        <v>291</v>
      </c>
      <c r="B35" s="33" t="n">
        <f aca="false">SUM(B31:B34)</f>
        <v>19154.7</v>
      </c>
    </row>
    <row r="36" customFormat="false" ht="15" hidden="false" customHeight="false" outlineLevel="0" collapsed="false">
      <c r="A36" s="20" t="s">
        <v>292</v>
      </c>
      <c r="B36" s="21"/>
      <c r="C36" s="21"/>
    </row>
    <row r="37" customFormat="false" ht="15" hidden="false" customHeight="false" outlineLevel="0" collapsed="false">
      <c r="A37" s="10" t="s">
        <v>293</v>
      </c>
      <c r="B37" s="33" t="n">
        <f aca="false">B38+B39</f>
        <v>4838</v>
      </c>
    </row>
    <row r="38" customFormat="false" ht="15" hidden="false" customHeight="false" outlineLevel="0" collapsed="false">
      <c r="A38" s="4" t="s">
        <v>294</v>
      </c>
      <c r="B38" s="29" t="n">
        <v>2338</v>
      </c>
      <c r="C38" s="4" t="s">
        <v>252</v>
      </c>
    </row>
    <row r="39" customFormat="false" ht="15" hidden="false" customHeight="false" outlineLevel="0" collapsed="false">
      <c r="A39" s="4" t="s">
        <v>295</v>
      </c>
      <c r="B39" s="29" t="n">
        <v>2500</v>
      </c>
      <c r="C39" s="4" t="s">
        <v>296</v>
      </c>
    </row>
    <row r="41" customFormat="false" ht="15" hidden="false" customHeight="false" outlineLevel="0" collapsed="false">
      <c r="A41" s="4" t="s">
        <v>297</v>
      </c>
      <c r="B41" s="13" t="n">
        <f aca="false">0.1*(B17+B24+B29+B35+B37)</f>
        <v>3715.971</v>
      </c>
    </row>
    <row r="42" customFormat="false" ht="15" hidden="false" customHeight="false" outlineLevel="0" collapsed="false">
      <c r="A42" s="10" t="s">
        <v>298</v>
      </c>
      <c r="B42" s="33" t="n">
        <f aca="false">B17+B24+B29+B35+B37+B41</f>
        <v>40875.681</v>
      </c>
    </row>
    <row r="44" customFormat="false" ht="15" hidden="false" customHeight="false" outlineLevel="0" collapsed="false">
      <c r="A44" s="20" t="s">
        <v>299</v>
      </c>
      <c r="B44" s="21"/>
      <c r="C44" s="21"/>
    </row>
    <row r="45" customFormat="false" ht="15" hidden="false" customHeight="false" outlineLevel="0" collapsed="false">
      <c r="A45" s="5" t="s">
        <v>300</v>
      </c>
      <c r="B45" s="5" t="s">
        <v>301</v>
      </c>
      <c r="C45" s="5" t="s">
        <v>127</v>
      </c>
    </row>
    <row r="46" customFormat="false" ht="15" hidden="false" customHeight="false" outlineLevel="0" collapsed="false">
      <c r="A46" s="4" t="s">
        <v>302</v>
      </c>
      <c r="B46" s="29" t="n">
        <v>25000</v>
      </c>
      <c r="C46" s="4" t="s">
        <v>303</v>
      </c>
    </row>
    <row r="47" customFormat="false" ht="15" hidden="false" customHeight="false" outlineLevel="0" collapsed="false">
      <c r="A47" s="4" t="s">
        <v>304</v>
      </c>
      <c r="B47" s="13" t="n">
        <f aca="false">MAX(0,CEILING(B42-B46,500))</f>
        <v>16000</v>
      </c>
      <c r="C47" s="4" t="s">
        <v>305</v>
      </c>
    </row>
    <row r="48" customFormat="false" ht="15" hidden="false" customHeight="false" outlineLevel="0" collapsed="false">
      <c r="A48" s="4" t="s">
        <v>306</v>
      </c>
      <c r="B48" s="30" t="n">
        <v>0.35</v>
      </c>
      <c r="C48" s="4" t="s">
        <v>307</v>
      </c>
    </row>
    <row r="49" customFormat="false" ht="15" hidden="false" customHeight="false" outlineLevel="0" collapsed="false">
      <c r="A49" s="4" t="s">
        <v>308</v>
      </c>
      <c r="B49" s="28" t="n">
        <v>24</v>
      </c>
      <c r="C49" s="4" t="s">
        <v>309</v>
      </c>
    </row>
    <row r="50" customFormat="false" ht="15" hidden="false" customHeight="false" outlineLevel="0" collapsed="false">
      <c r="A50" s="4" t="s">
        <v>310</v>
      </c>
      <c r="B50" s="13" t="n">
        <f aca="false">PMT((1+B48)^(1/12)-1,B49,-B47)</f>
        <v>897.810953634801</v>
      </c>
    </row>
    <row r="51" customFormat="false" ht="15" hidden="false" customHeight="false" outlineLevel="0" collapsed="false">
      <c r="A51" s="4" t="s">
        <v>311</v>
      </c>
      <c r="B51" s="13" t="n">
        <f aca="false">B50*B49-B47</f>
        <v>5547.46288723522</v>
      </c>
    </row>
    <row r="52" customFormat="false" ht="15" hidden="false" customHeight="false" outlineLevel="0" collapsed="false">
      <c r="A52" s="4" t="s">
        <v>312</v>
      </c>
      <c r="B52" s="13" t="n">
        <f aca="false">B46+B47-B42</f>
        <v>124.319000000003</v>
      </c>
    </row>
    <row r="53" customFormat="false" ht="15" hidden="false" customHeight="false" outlineLevel="0" collapsed="false">
      <c r="A53" s="4" t="s">
        <v>313</v>
      </c>
      <c r="B53" s="29" t="n">
        <v>3000</v>
      </c>
      <c r="C53" s="4" t="s">
        <v>314</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13" min="2" style="0" width="12"/>
    <col collapsed="false" customWidth="true" hidden="false" outlineLevel="0" max="14" min="14" style="0" width="13"/>
  </cols>
  <sheetData>
    <row r="1" customFormat="false" ht="17.35" hidden="false" customHeight="false" outlineLevel="0" collapsed="false">
      <c r="A1" s="1" t="s">
        <v>315</v>
      </c>
    </row>
    <row r="2" customFormat="false" ht="15" hidden="false" customHeight="false" outlineLevel="0" collapsed="false">
      <c r="A2" s="4" t="s">
        <v>316</v>
      </c>
    </row>
    <row r="4" customFormat="false" ht="30" hidden="false" customHeight="true" outlineLevel="0" collapsed="false">
      <c r="A4" s="5" t="s">
        <v>317</v>
      </c>
      <c r="B4" s="5" t="s">
        <v>318</v>
      </c>
      <c r="C4" s="5" t="s">
        <v>319</v>
      </c>
      <c r="D4" s="5" t="s">
        <v>320</v>
      </c>
      <c r="E4" s="5" t="s">
        <v>321</v>
      </c>
      <c r="F4" s="5" t="s">
        <v>322</v>
      </c>
      <c r="G4" s="5" t="s">
        <v>323</v>
      </c>
      <c r="H4" s="5" t="s">
        <v>324</v>
      </c>
      <c r="I4" s="5" t="s">
        <v>325</v>
      </c>
      <c r="J4" s="5" t="s">
        <v>326</v>
      </c>
      <c r="K4" s="5" t="s">
        <v>327</v>
      </c>
      <c r="L4" s="5" t="s">
        <v>328</v>
      </c>
      <c r="M4" s="5" t="s">
        <v>329</v>
      </c>
      <c r="N4" s="5" t="s">
        <v>330</v>
      </c>
    </row>
    <row r="5" customFormat="false" ht="15" hidden="false" customHeight="false" outlineLevel="0" collapsed="false">
      <c r="A5" s="4" t="s">
        <v>331</v>
      </c>
      <c r="B5" s="28" t="n">
        <v>1</v>
      </c>
      <c r="C5" s="28" t="n">
        <v>2</v>
      </c>
      <c r="D5" s="28" t="n">
        <v>2</v>
      </c>
      <c r="E5" s="28" t="n">
        <v>2</v>
      </c>
      <c r="F5" s="28" t="n">
        <v>2</v>
      </c>
      <c r="G5" s="28" t="n">
        <v>2</v>
      </c>
      <c r="H5" s="28" t="n">
        <v>2</v>
      </c>
      <c r="I5" s="28" t="n">
        <v>3</v>
      </c>
      <c r="J5" s="28" t="n">
        <v>3</v>
      </c>
      <c r="K5" s="28" t="n">
        <v>3</v>
      </c>
      <c r="L5" s="28" t="n">
        <v>3</v>
      </c>
      <c r="M5" s="28" t="n">
        <v>3</v>
      </c>
      <c r="N5" s="15" t="n">
        <f aca="false">SUM(B5:M5)</f>
        <v>28</v>
      </c>
    </row>
    <row r="6" customFormat="false" ht="15" hidden="false" customHeight="false" outlineLevel="0" collapsed="false">
      <c r="A6" s="4" t="s">
        <v>332</v>
      </c>
      <c r="B6" s="28" t="n">
        <v>9</v>
      </c>
      <c r="C6" s="28" t="n">
        <v>9</v>
      </c>
      <c r="D6" s="28" t="n">
        <v>9</v>
      </c>
      <c r="E6" s="28" t="n">
        <v>9</v>
      </c>
      <c r="F6" s="28" t="n">
        <v>9</v>
      </c>
      <c r="G6" s="28" t="n">
        <v>9</v>
      </c>
      <c r="H6" s="28" t="n">
        <v>10</v>
      </c>
      <c r="I6" s="28" t="n">
        <v>9</v>
      </c>
      <c r="J6" s="28" t="n">
        <v>9</v>
      </c>
      <c r="K6" s="28" t="n">
        <v>9</v>
      </c>
      <c r="L6" s="28" t="n">
        <v>9</v>
      </c>
      <c r="M6" s="28" t="n">
        <v>12</v>
      </c>
      <c r="N6" s="15" t="n">
        <f aca="false">SUM(B6:M6)</f>
        <v>112</v>
      </c>
    </row>
    <row r="7" customFormat="false" ht="15" hidden="false" customHeight="false" outlineLevel="0" collapsed="false">
      <c r="A7" s="4" t="s">
        <v>333</v>
      </c>
      <c r="B7" s="28" t="n">
        <v>50</v>
      </c>
      <c r="C7" s="28" t="n">
        <v>80</v>
      </c>
      <c r="D7" s="28" t="n">
        <v>100</v>
      </c>
      <c r="E7" s="28" t="n">
        <v>80</v>
      </c>
      <c r="F7" s="28" t="n">
        <v>85</v>
      </c>
      <c r="G7" s="28" t="n">
        <v>80</v>
      </c>
      <c r="H7" s="28" t="n">
        <v>85</v>
      </c>
      <c r="I7" s="28" t="n">
        <v>85</v>
      </c>
      <c r="J7" s="28" t="n">
        <v>90</v>
      </c>
      <c r="K7" s="28" t="n">
        <v>90</v>
      </c>
      <c r="L7" s="28" t="n">
        <v>90</v>
      </c>
      <c r="M7" s="28" t="n">
        <v>90</v>
      </c>
      <c r="N7" s="15" t="n">
        <f aca="false">SUM(B7:M7)</f>
        <v>1005</v>
      </c>
    </row>
    <row r="8" customFormat="false" ht="15" hidden="false" customHeight="false" outlineLevel="0" collapsed="false">
      <c r="A8" s="4" t="s">
        <v>334</v>
      </c>
      <c r="B8" s="28" t="n">
        <v>0</v>
      </c>
      <c r="C8" s="28" t="n">
        <v>1</v>
      </c>
      <c r="D8" s="28" t="n">
        <v>0</v>
      </c>
      <c r="E8" s="28" t="n">
        <v>1</v>
      </c>
      <c r="F8" s="28" t="n">
        <v>0</v>
      </c>
      <c r="G8" s="28" t="n">
        <v>0</v>
      </c>
      <c r="H8" s="28" t="n">
        <v>0</v>
      </c>
      <c r="I8" s="28" t="n">
        <v>0</v>
      </c>
      <c r="J8" s="28" t="n">
        <v>0</v>
      </c>
      <c r="K8" s="28" t="n">
        <v>0</v>
      </c>
      <c r="L8" s="28" t="n">
        <v>0</v>
      </c>
      <c r="M8" s="28" t="n">
        <v>0</v>
      </c>
      <c r="N8" s="15" t="n">
        <f aca="false">SUM(B8:M8)</f>
        <v>2</v>
      </c>
    </row>
    <row r="9" customFormat="false" ht="15" hidden="false" customHeight="false" outlineLevel="0" collapsed="false">
      <c r="A9" s="4" t="s">
        <v>335</v>
      </c>
      <c r="B9" s="28" t="n">
        <v>1</v>
      </c>
      <c r="C9" s="28" t="n">
        <v>2</v>
      </c>
      <c r="D9" s="28" t="n">
        <v>4</v>
      </c>
      <c r="E9" s="28" t="n">
        <v>4</v>
      </c>
      <c r="F9" s="28" t="n">
        <v>5</v>
      </c>
      <c r="G9" s="28" t="n">
        <v>4</v>
      </c>
      <c r="H9" s="28" t="n">
        <v>3</v>
      </c>
      <c r="I9" s="28" t="n">
        <v>4</v>
      </c>
      <c r="J9" s="28" t="n">
        <v>4</v>
      </c>
      <c r="K9" s="28" t="n">
        <v>4</v>
      </c>
      <c r="L9" s="28" t="n">
        <v>3</v>
      </c>
      <c r="M9" s="28" t="n">
        <v>2</v>
      </c>
      <c r="N9" s="15" t="n">
        <f aca="false">SUM(B9:M9)</f>
        <v>40</v>
      </c>
    </row>
    <row r="10" customFormat="false" ht="15" hidden="false" customHeight="false" outlineLevel="0" collapsed="false">
      <c r="A10" s="4" t="s">
        <v>336</v>
      </c>
      <c r="B10" s="32" t="n">
        <v>0</v>
      </c>
      <c r="C10" s="32" t="n">
        <v>0</v>
      </c>
      <c r="D10" s="32" t="n">
        <v>300</v>
      </c>
      <c r="E10" s="32" t="n">
        <v>600</v>
      </c>
      <c r="F10" s="32" t="n">
        <v>765</v>
      </c>
      <c r="G10" s="32" t="n">
        <v>900</v>
      </c>
      <c r="H10" s="32" t="n">
        <v>600</v>
      </c>
      <c r="I10" s="32" t="n">
        <v>1200</v>
      </c>
      <c r="J10" s="32" t="n">
        <v>1200</v>
      </c>
      <c r="K10" s="32" t="n">
        <v>1500</v>
      </c>
      <c r="L10" s="32" t="n">
        <v>1500</v>
      </c>
      <c r="M10" s="32" t="n">
        <v>600</v>
      </c>
      <c r="N10" s="15" t="n">
        <f aca="false">SUM(B10:M10)</f>
        <v>9165</v>
      </c>
    </row>
    <row r="11" customFormat="false" ht="15" hidden="false" customHeight="false" outlineLevel="0" collapsed="false">
      <c r="A11" s="4" t="s">
        <v>337</v>
      </c>
      <c r="B11" s="32" t="n">
        <v>120</v>
      </c>
      <c r="C11" s="32" t="n">
        <v>180</v>
      </c>
      <c r="D11" s="32" t="n">
        <v>180</v>
      </c>
      <c r="E11" s="32" t="n">
        <v>240</v>
      </c>
      <c r="F11" s="32" t="n">
        <v>300</v>
      </c>
      <c r="G11" s="32" t="n">
        <v>300</v>
      </c>
      <c r="H11" s="32" t="n">
        <v>360</v>
      </c>
      <c r="I11" s="32" t="n">
        <v>360</v>
      </c>
      <c r="J11" s="32" t="n">
        <v>360</v>
      </c>
      <c r="K11" s="32" t="n">
        <v>420</v>
      </c>
      <c r="L11" s="32" t="n">
        <v>420</v>
      </c>
      <c r="M11" s="32" t="n">
        <v>480</v>
      </c>
      <c r="N11" s="15" t="n">
        <f aca="false">SUM(B11:M11)</f>
        <v>3720</v>
      </c>
    </row>
    <row r="13" customFormat="false" ht="30" hidden="false" customHeight="true" outlineLevel="0" collapsed="false">
      <c r="A13" s="5" t="s">
        <v>338</v>
      </c>
      <c r="B13" s="5" t="s">
        <v>318</v>
      </c>
      <c r="C13" s="5" t="s">
        <v>319</v>
      </c>
      <c r="D13" s="5" t="s">
        <v>320</v>
      </c>
      <c r="E13" s="5" t="s">
        <v>321</v>
      </c>
      <c r="F13" s="5" t="s">
        <v>322</v>
      </c>
      <c r="G13" s="5" t="s">
        <v>323</v>
      </c>
      <c r="H13" s="5" t="s">
        <v>324</v>
      </c>
      <c r="I13" s="5" t="s">
        <v>325</v>
      </c>
      <c r="J13" s="5" t="s">
        <v>326</v>
      </c>
      <c r="K13" s="5" t="s">
        <v>327</v>
      </c>
      <c r="L13" s="5" t="s">
        <v>328</v>
      </c>
      <c r="M13" s="5" t="s">
        <v>329</v>
      </c>
      <c r="N13" s="5" t="s">
        <v>330</v>
      </c>
    </row>
    <row r="14" customFormat="false" ht="15" hidden="false" customHeight="false" outlineLevel="0" collapsed="false">
      <c r="A14" s="4" t="s">
        <v>128</v>
      </c>
      <c r="B14" s="15" t="n">
        <f aca="false">B5*B6*B7</f>
        <v>450</v>
      </c>
      <c r="C14" s="15" t="n">
        <f aca="false">C5*C6*C7</f>
        <v>1440</v>
      </c>
      <c r="D14" s="15" t="n">
        <f aca="false">D5*D6*D7</f>
        <v>1800</v>
      </c>
      <c r="E14" s="15" t="n">
        <f aca="false">E5*E6*E7</f>
        <v>1440</v>
      </c>
      <c r="F14" s="15" t="n">
        <f aca="false">F5*F6*F7</f>
        <v>1530</v>
      </c>
      <c r="G14" s="15" t="n">
        <f aca="false">G5*G6*G7</f>
        <v>1440</v>
      </c>
      <c r="H14" s="15" t="n">
        <f aca="false">H5*H6*H7</f>
        <v>1700</v>
      </c>
      <c r="I14" s="15" t="n">
        <f aca="false">I5*I6*I7</f>
        <v>2295</v>
      </c>
      <c r="J14" s="15" t="n">
        <f aca="false">J5*J6*J7</f>
        <v>2430</v>
      </c>
      <c r="K14" s="15" t="n">
        <f aca="false">K5*K6*K7</f>
        <v>2430</v>
      </c>
      <c r="L14" s="15" t="n">
        <f aca="false">L5*L6*L7</f>
        <v>2430</v>
      </c>
      <c r="M14" s="15" t="n">
        <f aca="false">M5*M6*M7</f>
        <v>3240</v>
      </c>
      <c r="N14" s="15" t="n">
        <f aca="false">SUM(B14:M14)</f>
        <v>22625</v>
      </c>
    </row>
    <row r="15" customFormat="false" ht="15" hidden="false" customHeight="false" outlineLevel="0" collapsed="false">
      <c r="A15" s="4" t="s">
        <v>130</v>
      </c>
      <c r="B15" s="15" t="n">
        <f aca="false">B8*Supuestos!$B$62+B9*Supuestos!$B$63</f>
        <v>150</v>
      </c>
      <c r="C15" s="15" t="n">
        <f aca="false">C8*Supuestos!$B$62+C9*Supuestos!$B$63</f>
        <v>1000</v>
      </c>
      <c r="D15" s="15" t="n">
        <f aca="false">D8*Supuestos!$B$62+D9*Supuestos!$B$63</f>
        <v>600</v>
      </c>
      <c r="E15" s="15" t="n">
        <f aca="false">E8*Supuestos!$B$62+E9*Supuestos!$B$63</f>
        <v>1300</v>
      </c>
      <c r="F15" s="15" t="n">
        <f aca="false">F8*Supuestos!$B$62+F9*Supuestos!$B$63</f>
        <v>750</v>
      </c>
      <c r="G15" s="15" t="n">
        <f aca="false">G8*Supuestos!$B$62+G9*Supuestos!$B$63</f>
        <v>600</v>
      </c>
      <c r="H15" s="15" t="n">
        <f aca="false">H8*Supuestos!$B$62+H9*Supuestos!$B$63</f>
        <v>450</v>
      </c>
      <c r="I15" s="15" t="n">
        <f aca="false">I8*Supuestos!$B$62+I9*Supuestos!$B$63</f>
        <v>600</v>
      </c>
      <c r="J15" s="15" t="n">
        <f aca="false">J8*Supuestos!$B$62+J9*Supuestos!$B$63</f>
        <v>600</v>
      </c>
      <c r="K15" s="15" t="n">
        <f aca="false">K8*Supuestos!$B$62+K9*Supuestos!$B$63</f>
        <v>600</v>
      </c>
      <c r="L15" s="15" t="n">
        <f aca="false">L8*Supuestos!$B$62+L9*Supuestos!$B$63</f>
        <v>450</v>
      </c>
      <c r="M15" s="15" t="n">
        <f aca="false">M8*Supuestos!$B$62+M9*Supuestos!$B$63</f>
        <v>300</v>
      </c>
      <c r="N15" s="15" t="n">
        <f aca="false">SUM(B15:M15)</f>
        <v>7400</v>
      </c>
    </row>
    <row r="16" customFormat="false" ht="15" hidden="false" customHeight="false" outlineLevel="0" collapsed="false">
      <c r="A16" s="4" t="s">
        <v>132</v>
      </c>
      <c r="B16" s="8" t="n">
        <f aca="false">Supuestos!$B$66</f>
        <v>150</v>
      </c>
      <c r="C16" s="8" t="n">
        <f aca="false">ROUND(Supuestos!$B$65*(B14+B15),0)</f>
        <v>210</v>
      </c>
      <c r="D16" s="8" t="n">
        <f aca="false">ROUND(Supuestos!$B$65*(C14+C15),0)</f>
        <v>854</v>
      </c>
      <c r="E16" s="8" t="n">
        <f aca="false">ROUND(Supuestos!$B$65*(D14+D15),0)</f>
        <v>840</v>
      </c>
      <c r="F16" s="8" t="n">
        <f aca="false">ROUND(Supuestos!$B$65*(E14+E15),0)</f>
        <v>959</v>
      </c>
      <c r="G16" s="8" t="n">
        <f aca="false">ROUND(Supuestos!$B$65*(F14+F15),0)</f>
        <v>798</v>
      </c>
      <c r="H16" s="8" t="n">
        <f aca="false">ROUND(Supuestos!$B$65*(G14+G15),0)</f>
        <v>714</v>
      </c>
      <c r="I16" s="8" t="n">
        <f aca="false">ROUND(Supuestos!$B$65*(H14+H15),0)</f>
        <v>753</v>
      </c>
      <c r="J16" s="8" t="n">
        <f aca="false">ROUND(Supuestos!$B$65*(I14+I15),0)</f>
        <v>1013</v>
      </c>
      <c r="K16" s="8" t="n">
        <f aca="false">ROUND(Supuestos!$B$65*(J14+J15),0)</f>
        <v>1061</v>
      </c>
      <c r="L16" s="8" t="n">
        <f aca="false">ROUND(Supuestos!$B$65*(K14+K15),0)</f>
        <v>1061</v>
      </c>
      <c r="M16" s="8" t="n">
        <f aca="false">ROUND(Supuestos!$B$65*(L14+L15),0)</f>
        <v>1008</v>
      </c>
      <c r="N16" s="15" t="n">
        <f aca="false">SUM(B16:M16)</f>
        <v>9421</v>
      </c>
    </row>
    <row r="17" customFormat="false" ht="15" hidden="false" customHeight="false" outlineLevel="0" collapsed="false">
      <c r="A17" s="4" t="s">
        <v>134</v>
      </c>
      <c r="B17" s="15" t="n">
        <f aca="false">B10</f>
        <v>0</v>
      </c>
      <c r="C17" s="15" t="n">
        <f aca="false">C10</f>
        <v>0</v>
      </c>
      <c r="D17" s="15" t="n">
        <f aca="false">D10</f>
        <v>300</v>
      </c>
      <c r="E17" s="15" t="n">
        <f aca="false">E10</f>
        <v>600</v>
      </c>
      <c r="F17" s="15" t="n">
        <f aca="false">F10</f>
        <v>765</v>
      </c>
      <c r="G17" s="15" t="n">
        <f aca="false">G10</f>
        <v>900</v>
      </c>
      <c r="H17" s="15" t="n">
        <f aca="false">H10</f>
        <v>600</v>
      </c>
      <c r="I17" s="15" t="n">
        <f aca="false">I10</f>
        <v>1200</v>
      </c>
      <c r="J17" s="15" t="n">
        <f aca="false">J10</f>
        <v>1200</v>
      </c>
      <c r="K17" s="15" t="n">
        <f aca="false">K10</f>
        <v>1500</v>
      </c>
      <c r="L17" s="15" t="n">
        <f aca="false">L10</f>
        <v>1500</v>
      </c>
      <c r="M17" s="15" t="n">
        <f aca="false">M10</f>
        <v>600</v>
      </c>
      <c r="N17" s="15" t="n">
        <f aca="false">SUM(B17:M17)</f>
        <v>9165</v>
      </c>
    </row>
    <row r="18" customFormat="false" ht="15" hidden="false" customHeight="false" outlineLevel="0" collapsed="false">
      <c r="A18" s="4" t="s">
        <v>136</v>
      </c>
      <c r="B18" s="15" t="n">
        <f aca="false">B11</f>
        <v>120</v>
      </c>
      <c r="C18" s="15" t="n">
        <f aca="false">C11</f>
        <v>180</v>
      </c>
      <c r="D18" s="15" t="n">
        <f aca="false">D11</f>
        <v>180</v>
      </c>
      <c r="E18" s="15" t="n">
        <f aca="false">E11</f>
        <v>240</v>
      </c>
      <c r="F18" s="15" t="n">
        <f aca="false">F11</f>
        <v>300</v>
      </c>
      <c r="G18" s="15" t="n">
        <f aca="false">G11</f>
        <v>300</v>
      </c>
      <c r="H18" s="15" t="n">
        <f aca="false">H11</f>
        <v>360</v>
      </c>
      <c r="I18" s="15" t="n">
        <f aca="false">I11</f>
        <v>360</v>
      </c>
      <c r="J18" s="15" t="n">
        <f aca="false">J11</f>
        <v>360</v>
      </c>
      <c r="K18" s="15" t="n">
        <f aca="false">K11</f>
        <v>420</v>
      </c>
      <c r="L18" s="15" t="n">
        <f aca="false">L11</f>
        <v>420</v>
      </c>
      <c r="M18" s="15" t="n">
        <f aca="false">M11</f>
        <v>480</v>
      </c>
      <c r="N18" s="15" t="n">
        <f aca="false">SUM(B18:M18)</f>
        <v>3720</v>
      </c>
    </row>
    <row r="19" customFormat="false" ht="15" hidden="false" customHeight="false" outlineLevel="0" collapsed="false">
      <c r="A19" s="10" t="s">
        <v>339</v>
      </c>
      <c r="B19" s="35" t="n">
        <f aca="false">SUM(B14:B18)</f>
        <v>870</v>
      </c>
      <c r="C19" s="35" t="n">
        <f aca="false">SUM(C14:C18)</f>
        <v>2830</v>
      </c>
      <c r="D19" s="35" t="n">
        <f aca="false">SUM(D14:D18)</f>
        <v>3734</v>
      </c>
      <c r="E19" s="35" t="n">
        <f aca="false">SUM(E14:E18)</f>
        <v>4420</v>
      </c>
      <c r="F19" s="35" t="n">
        <f aca="false">SUM(F14:F18)</f>
        <v>4304</v>
      </c>
      <c r="G19" s="35" t="n">
        <f aca="false">SUM(G14:G18)</f>
        <v>4038</v>
      </c>
      <c r="H19" s="35" t="n">
        <f aca="false">SUM(H14:H18)</f>
        <v>3824</v>
      </c>
      <c r="I19" s="35" t="n">
        <f aca="false">SUM(I14:I18)</f>
        <v>5208</v>
      </c>
      <c r="J19" s="35" t="n">
        <f aca="false">SUM(J14:J18)</f>
        <v>5603</v>
      </c>
      <c r="K19" s="35" t="n">
        <f aca="false">SUM(K14:K18)</f>
        <v>6011</v>
      </c>
      <c r="L19" s="35" t="n">
        <f aca="false">SUM(L14:L18)</f>
        <v>5861</v>
      </c>
      <c r="M19" s="35" t="n">
        <f aca="false">SUM(M14:M18)</f>
        <v>5628</v>
      </c>
      <c r="N19" s="35" t="n">
        <f aca="false">SUM(N14:N18)</f>
        <v>52331</v>
      </c>
    </row>
    <row r="21" customFormat="false" ht="15" hidden="false" customHeight="false" outlineLevel="0" collapsed="false">
      <c r="A21" s="20" t="s">
        <v>340</v>
      </c>
      <c r="B21" s="21"/>
      <c r="C21" s="21"/>
      <c r="D21" s="21"/>
      <c r="E21" s="21"/>
      <c r="F21" s="21"/>
      <c r="G21" s="21"/>
      <c r="H21" s="21"/>
      <c r="I21" s="21"/>
      <c r="J21" s="21"/>
      <c r="K21" s="21"/>
      <c r="L21" s="21"/>
      <c r="M21" s="21"/>
      <c r="N21" s="21"/>
    </row>
    <row r="22" customFormat="false" ht="15" hidden="false" customHeight="false" outlineLevel="0" collapsed="false">
      <c r="A22" s="4" t="s">
        <v>341</v>
      </c>
      <c r="B22" s="8" t="n">
        <f aca="false">SUMPRODUCT(B$14:B$18,Supuestos!$B$48:$B$52)</f>
        <v>315</v>
      </c>
      <c r="C22" s="8" t="n">
        <f aca="false">SUMPRODUCT(C$14:C$18,Supuestos!$B$48:$B$52)</f>
        <v>1320</v>
      </c>
      <c r="D22" s="8" t="n">
        <f aca="false">SUMPRODUCT(D$14:D$18,Supuestos!$B$48:$B$52)</f>
        <v>1560</v>
      </c>
      <c r="E22" s="8" t="n">
        <f aca="false">SUMPRODUCT(E$14:E$18,Supuestos!$B$48:$B$52)</f>
        <v>2100</v>
      </c>
      <c r="F22" s="8" t="n">
        <f aca="false">SUMPRODUCT(F$14:F$18,Supuestos!$B$48:$B$52)</f>
        <v>1980</v>
      </c>
      <c r="G22" s="8" t="n">
        <f aca="false">SUMPRODUCT(G$14:G$18,Supuestos!$B$48:$B$52)</f>
        <v>1980</v>
      </c>
      <c r="H22" s="8" t="n">
        <f aca="false">SUMPRODUCT(H$14:H$18,Supuestos!$B$48:$B$52)</f>
        <v>1720</v>
      </c>
      <c r="I22" s="8" t="n">
        <f aca="false">SUMPRODUCT(I$14:I$18,Supuestos!$B$48:$B$52)</f>
        <v>2707.5</v>
      </c>
      <c r="J22" s="8" t="n">
        <f aca="false">SUMPRODUCT(J$14:J$18,Supuestos!$B$48:$B$52)</f>
        <v>2775</v>
      </c>
      <c r="K22" s="8" t="n">
        <f aca="false">SUMPRODUCT(K$14:K$18,Supuestos!$B$48:$B$52)</f>
        <v>3075</v>
      </c>
      <c r="L22" s="8" t="n">
        <f aca="false">SUMPRODUCT(L$14:L$18,Supuestos!$B$48:$B$52)</f>
        <v>2985</v>
      </c>
      <c r="M22" s="8" t="n">
        <f aca="false">SUMPRODUCT(M$14:M$18,Supuestos!$B$48:$B$52)</f>
        <v>2400</v>
      </c>
      <c r="N22" s="15" t="n">
        <f aca="false">SUM(B22:M22)</f>
        <v>24917.5</v>
      </c>
    </row>
    <row r="23" customFormat="false" ht="15" hidden="false" customHeight="false" outlineLevel="0" collapsed="false">
      <c r="A23" s="4" t="s">
        <v>342</v>
      </c>
      <c r="B23" s="8" t="n">
        <f aca="false">SUMPRODUCT(B$14:B$18,Supuestos!$C$48:$C$52)</f>
        <v>412.5</v>
      </c>
      <c r="C23" s="8" t="n">
        <f aca="false">SUMPRODUCT(C$14:C$18,Supuestos!$C$48:$C$52)</f>
        <v>1110</v>
      </c>
      <c r="D23" s="8" t="n">
        <f aca="false">SUMPRODUCT(D$14:D$18,Supuestos!$C$48:$C$52)</f>
        <v>1502.4</v>
      </c>
      <c r="E23" s="8" t="n">
        <f aca="false">SUMPRODUCT(E$14:E$18,Supuestos!$C$48:$C$52)</f>
        <v>1638</v>
      </c>
      <c r="F23" s="8" t="n">
        <f aca="false">SUMPRODUCT(F$14:F$18,Supuestos!$C$48:$C$52)</f>
        <v>1635.9</v>
      </c>
      <c r="G23" s="8" t="n">
        <f aca="false">SUMPRODUCT(G$14:G$18,Supuestos!$C$48:$C$52)</f>
        <v>1462.8</v>
      </c>
      <c r="H23" s="8" t="n">
        <f aca="false">SUMPRODUCT(H$14:H$18,Supuestos!$C$48:$C$52)</f>
        <v>1518.4</v>
      </c>
      <c r="I23" s="8" t="n">
        <f aca="false">SUMPRODUCT(I$14:I$18,Supuestos!$C$48:$C$52)</f>
        <v>1795.05</v>
      </c>
      <c r="J23" s="8" t="n">
        <f aca="false">SUMPRODUCT(J$14:J$18,Supuestos!$C$48:$C$52)</f>
        <v>1998.3</v>
      </c>
      <c r="K23" s="8" t="n">
        <f aca="false">SUMPRODUCT(K$14:K$18,Supuestos!$C$48:$C$52)</f>
        <v>2087.1</v>
      </c>
      <c r="L23" s="8" t="n">
        <f aca="false">SUMPRODUCT(L$14:L$18,Supuestos!$C$48:$C$52)</f>
        <v>2042.1</v>
      </c>
      <c r="M23" s="8" t="n">
        <f aca="false">SUMPRODUCT(M$14:M$18,Supuestos!$C$48:$C$52)</f>
        <v>2308.8</v>
      </c>
      <c r="N23" s="15" t="n">
        <f aca="false">SUM(B23:M23)</f>
        <v>19511.35</v>
      </c>
    </row>
    <row r="24" customFormat="false" ht="15" hidden="false" customHeight="false" outlineLevel="0" collapsed="false">
      <c r="A24" s="4" t="s">
        <v>343</v>
      </c>
      <c r="B24" s="8" t="n">
        <f aca="false">SUMPRODUCT(B$14:B$18,Supuestos!$D$48:$D$52)</f>
        <v>67.5</v>
      </c>
      <c r="C24" s="8" t="n">
        <f aca="false">SUMPRODUCT(C$14:C$18,Supuestos!$D$48:$D$52)</f>
        <v>135</v>
      </c>
      <c r="D24" s="8" t="n">
        <f aca="false">SUMPRODUCT(D$14:D$18,Supuestos!$D$48:$D$52)</f>
        <v>346.2</v>
      </c>
      <c r="E24" s="8" t="n">
        <f aca="false">SUMPRODUCT(E$14:E$18,Supuestos!$D$48:$D$52)</f>
        <v>324</v>
      </c>
      <c r="F24" s="8" t="n">
        <f aca="false">SUMPRODUCT(F$14:F$18,Supuestos!$D$48:$D$52)</f>
        <v>364.2</v>
      </c>
      <c r="G24" s="8" t="n">
        <f aca="false">SUMPRODUCT(G$14:G$18,Supuestos!$D$48:$D$52)</f>
        <v>311.4</v>
      </c>
      <c r="H24" s="8" t="n">
        <f aca="false">SUMPRODUCT(H$14:H$18,Supuestos!$D$48:$D$52)</f>
        <v>299.2</v>
      </c>
      <c r="I24" s="8" t="n">
        <f aca="false">SUMPRODUCT(I$14:I$18,Supuestos!$D$48:$D$52)</f>
        <v>340.65</v>
      </c>
      <c r="J24" s="8" t="n">
        <f aca="false">SUMPRODUCT(J$14:J$18,Supuestos!$D$48:$D$52)</f>
        <v>425.4</v>
      </c>
      <c r="K24" s="8" t="n">
        <f aca="false">SUMPRODUCT(K$14:K$18,Supuestos!$D$48:$D$52)</f>
        <v>439.8</v>
      </c>
      <c r="L24" s="8" t="n">
        <f aca="false">SUMPRODUCT(L$14:L$18,Supuestos!$D$48:$D$52)</f>
        <v>439.8</v>
      </c>
      <c r="M24" s="8" t="n">
        <f aca="false">SUMPRODUCT(M$14:M$18,Supuestos!$D$48:$D$52)</f>
        <v>464.4</v>
      </c>
      <c r="N24" s="15" t="n">
        <f aca="false">SUM(B24:M24)</f>
        <v>3957.55</v>
      </c>
    </row>
    <row r="25" customFormat="false" ht="15" hidden="false" customHeight="false" outlineLevel="0" collapsed="false">
      <c r="A25" s="4" t="s">
        <v>344</v>
      </c>
      <c r="B25" s="15" t="n">
        <f aca="false">B23/Costeo!$C$5</f>
        <v>68.75</v>
      </c>
      <c r="C25" s="15" t="n">
        <f aca="false">C23/Costeo!$C$5</f>
        <v>185</v>
      </c>
      <c r="D25" s="15" t="n">
        <f aca="false">D23/Costeo!$C$5</f>
        <v>250.4</v>
      </c>
      <c r="E25" s="15" t="n">
        <f aca="false">E23/Costeo!$C$5</f>
        <v>273</v>
      </c>
      <c r="F25" s="15" t="n">
        <f aca="false">F23/Costeo!$C$5</f>
        <v>272.65</v>
      </c>
      <c r="G25" s="15" t="n">
        <f aca="false">G23/Costeo!$C$5</f>
        <v>243.8</v>
      </c>
      <c r="H25" s="15" t="n">
        <f aca="false">H23/Costeo!$C$5</f>
        <v>253.066666666667</v>
      </c>
      <c r="I25" s="15" t="n">
        <f aca="false">I23/Costeo!$C$5</f>
        <v>299.175</v>
      </c>
      <c r="J25" s="15" t="n">
        <f aca="false">J23/Costeo!$C$5</f>
        <v>333.05</v>
      </c>
      <c r="K25" s="15" t="n">
        <f aca="false">K23/Costeo!$C$5</f>
        <v>347.85</v>
      </c>
      <c r="L25" s="15" t="n">
        <f aca="false">L23/Costeo!$C$5</f>
        <v>340.35</v>
      </c>
      <c r="M25" s="15" t="n">
        <f aca="false">M23/Costeo!$C$5</f>
        <v>384.8</v>
      </c>
      <c r="N25" s="15" t="n">
        <f aca="false">SUM(B25:M25)</f>
        <v>3251.89166666667</v>
      </c>
    </row>
    <row r="26" customFormat="false" ht="15" hidden="false" customHeight="false" outlineLevel="0" collapsed="false">
      <c r="A26" s="4" t="s">
        <v>345</v>
      </c>
      <c r="B26" s="15" t="n">
        <f aca="false">B24/Costeo!$E$5</f>
        <v>5.625</v>
      </c>
      <c r="C26" s="15" t="n">
        <f aca="false">C24/Costeo!$E$5</f>
        <v>11.25</v>
      </c>
      <c r="D26" s="15" t="n">
        <f aca="false">D24/Costeo!$E$5</f>
        <v>28.85</v>
      </c>
      <c r="E26" s="15" t="n">
        <f aca="false">E24/Costeo!$E$5</f>
        <v>27</v>
      </c>
      <c r="F26" s="15" t="n">
        <f aca="false">F24/Costeo!$E$5</f>
        <v>30.35</v>
      </c>
      <c r="G26" s="15" t="n">
        <f aca="false">G24/Costeo!$E$5</f>
        <v>25.95</v>
      </c>
      <c r="H26" s="15" t="n">
        <f aca="false">H24/Costeo!$E$5</f>
        <v>24.9333333333333</v>
      </c>
      <c r="I26" s="15" t="n">
        <f aca="false">I24/Costeo!$E$5</f>
        <v>28.3875</v>
      </c>
      <c r="J26" s="15" t="n">
        <f aca="false">J24/Costeo!$E$5</f>
        <v>35.45</v>
      </c>
      <c r="K26" s="15" t="n">
        <f aca="false">K24/Costeo!$E$5</f>
        <v>36.65</v>
      </c>
      <c r="L26" s="15" t="n">
        <f aca="false">L24/Costeo!$E$5</f>
        <v>36.65</v>
      </c>
      <c r="M26" s="15" t="n">
        <f aca="false">M24/Costeo!$E$5</f>
        <v>38.7</v>
      </c>
      <c r="N26" s="15" t="n">
        <f aca="false">SUM(B26:M26)</f>
        <v>329.795833333333</v>
      </c>
    </row>
    <row r="28" customFormat="false" ht="15" hidden="false" customHeight="false" outlineLevel="0" collapsed="false">
      <c r="A28" s="20" t="s">
        <v>346</v>
      </c>
      <c r="B28" s="21"/>
      <c r="C28" s="21"/>
      <c r="D28" s="21"/>
      <c r="E28" s="21"/>
      <c r="F28" s="21"/>
      <c r="G28" s="21"/>
      <c r="H28" s="21"/>
      <c r="I28" s="21"/>
      <c r="J28" s="21"/>
      <c r="K28" s="21"/>
      <c r="L28" s="21"/>
      <c r="M28" s="21"/>
      <c r="N28" s="21"/>
    </row>
    <row r="29" customFormat="false" ht="15" hidden="false" customHeight="false" outlineLevel="0" collapsed="false">
      <c r="A29" s="4" t="s">
        <v>41</v>
      </c>
      <c r="B29" s="9" t="n">
        <f aca="false">SUMPRODUCT(B$14:B$18,Proyeccion!$H$30:$H$34)</f>
        <v>4279.5625</v>
      </c>
      <c r="C29" s="9" t="n">
        <f aca="false">SUMPRODUCT(C$14:C$18,Proyeccion!$H$30:$H$34)</f>
        <v>14777.875</v>
      </c>
      <c r="D29" s="9" t="n">
        <f aca="false">SUMPRODUCT(D$14:D$18,Proyeccion!$H$30:$H$34)</f>
        <v>18254.975</v>
      </c>
      <c r="E29" s="9" t="n">
        <f aca="false">SUMPRODUCT(E$14:E$18,Proyeccion!$H$30:$H$34)</f>
        <v>21279</v>
      </c>
      <c r="F29" s="9" t="n">
        <f aca="false">SUMPRODUCT(F$14:F$18,Proyeccion!$H$30:$H$34)</f>
        <v>19943.85</v>
      </c>
      <c r="G29" s="9" t="n">
        <f aca="false">SUMPRODUCT(G$14:G$18,Proyeccion!$H$30:$H$34)</f>
        <v>18360.325</v>
      </c>
      <c r="H29" s="9" t="n">
        <f aca="false">SUMPRODUCT(H$14:H$18,Proyeccion!$H$30:$H$34)</f>
        <v>17791.6</v>
      </c>
      <c r="I29" s="9" t="n">
        <f aca="false">SUMPRODUCT(I$14:I$18,Proyeccion!$H$30:$H$34)</f>
        <v>23921.79375</v>
      </c>
      <c r="J29" s="9" t="n">
        <f aca="false">SUMPRODUCT(J$14:J$18,Proyeccion!$H$30:$H$34)</f>
        <v>25777.7</v>
      </c>
      <c r="K29" s="9" t="n">
        <f aca="false">SUMPRODUCT(K$14:K$18,Proyeccion!$H$30:$H$34)</f>
        <v>27130.9</v>
      </c>
      <c r="L29" s="9" t="n">
        <f aca="false">SUMPRODUCT(L$14:L$18,Proyeccion!$H$30:$H$34)</f>
        <v>26299.15</v>
      </c>
      <c r="M29" s="9" t="n">
        <f aca="false">SUMPRODUCT(M$14:M$18,Proyeccion!$H$30:$H$34)</f>
        <v>26911.45</v>
      </c>
      <c r="N29" s="16" t="n">
        <f aca="false">SUM(B29:M29)</f>
        <v>244728.18125</v>
      </c>
    </row>
    <row r="30" customFormat="false" ht="15" hidden="false" customHeight="false" outlineLevel="0" collapsed="false">
      <c r="A30" s="4" t="s">
        <v>42</v>
      </c>
      <c r="B30" s="16" t="n">
        <f aca="false">B29/(1+Supuestos!$B$26)</f>
        <v>3626.74788135593</v>
      </c>
      <c r="C30" s="16" t="n">
        <f aca="false">C29/(1+Supuestos!$B$26)</f>
        <v>12523.6228813559</v>
      </c>
      <c r="D30" s="16" t="n">
        <f aca="false">D29/(1+Supuestos!$B$26)</f>
        <v>15470.3177966102</v>
      </c>
      <c r="E30" s="16" t="n">
        <f aca="false">E29/(1+Supuestos!$B$26)</f>
        <v>18033.0508474576</v>
      </c>
      <c r="F30" s="16" t="n">
        <f aca="false">F29/(1+Supuestos!$B$26)</f>
        <v>16901.5677966102</v>
      </c>
      <c r="G30" s="16" t="n">
        <f aca="false">G29/(1+Supuestos!$B$26)</f>
        <v>15559.5974576271</v>
      </c>
      <c r="H30" s="16" t="n">
        <f aca="false">H29/(1+Supuestos!$B$26)</f>
        <v>15077.6271186441</v>
      </c>
      <c r="I30" s="16" t="n">
        <f aca="false">I29/(1+Supuestos!$B$26)</f>
        <v>20272.7065677966</v>
      </c>
      <c r="J30" s="16" t="n">
        <f aca="false">J29/(1+Supuestos!$B$26)</f>
        <v>21845.5084745763</v>
      </c>
      <c r="K30" s="16" t="n">
        <f aca="false">K29/(1+Supuestos!$B$26)</f>
        <v>22992.2881355932</v>
      </c>
      <c r="L30" s="16" t="n">
        <f aca="false">L29/(1+Supuestos!$B$26)</f>
        <v>22287.4152542373</v>
      </c>
      <c r="M30" s="16" t="n">
        <f aca="false">M29/(1+Supuestos!$B$26)</f>
        <v>22806.313559322</v>
      </c>
      <c r="N30" s="16" t="n">
        <f aca="false">SUM(B30:M30)</f>
        <v>207396.763771186</v>
      </c>
    </row>
    <row r="31" customFormat="false" ht="15" hidden="false" customHeight="false" outlineLevel="0" collapsed="false">
      <c r="A31" s="4" t="s">
        <v>347</v>
      </c>
      <c r="B31" s="9" t="n">
        <f aca="false">SUMPRODUCT(B$14:B$18,Proyeccion!$F$30:$F$34)</f>
        <v>1769.19591390601</v>
      </c>
      <c r="C31" s="9" t="n">
        <f aca="false">SUMPRODUCT(C$14:C$18,Proyeccion!$F$30:$F$34)</f>
        <v>6435.24881163328</v>
      </c>
      <c r="D31" s="9" t="n">
        <f aca="false">SUMPRODUCT(D$14:D$18,Proyeccion!$F$30:$F$34)</f>
        <v>7451.42135046225</v>
      </c>
      <c r="E31" s="9" t="n">
        <f aca="false">SUMPRODUCT(E$14:E$18,Proyeccion!$F$30:$F$34)</f>
        <v>8636.33906625578</v>
      </c>
      <c r="F31" s="9" t="n">
        <f aca="false">SUMPRODUCT(F$14:F$18,Proyeccion!$F$30:$F$34)</f>
        <v>7821.78045273498</v>
      </c>
      <c r="G31" s="9" t="n">
        <f aca="false">SUMPRODUCT(G$14:G$18,Proyeccion!$F$30:$F$34)</f>
        <v>7118.35696941448</v>
      </c>
      <c r="H31" s="9" t="n">
        <f aca="false">SUMPRODUCT(H$14:H$18,Proyeccion!$F$30:$F$34)</f>
        <v>7038.84310200308</v>
      </c>
      <c r="I31" s="9" t="n">
        <f aca="false">SUMPRODUCT(I$14:I$18,Proyeccion!$F$30:$F$34)</f>
        <v>9426.53934643683</v>
      </c>
      <c r="J31" s="9" t="n">
        <f aca="false">SUMPRODUCT(J$14:J$18,Proyeccion!$F$30:$F$34)</f>
        <v>10114.6757852851</v>
      </c>
      <c r="K31" s="9" t="n">
        <f aca="false">SUMPRODUCT(K$14:K$18,Proyeccion!$F$30:$F$34)</f>
        <v>10488.5388860555</v>
      </c>
      <c r="L31" s="9" t="n">
        <f aca="false">SUMPRODUCT(L$14:L$18,Proyeccion!$F$30:$F$34)</f>
        <v>10110.0142789676</v>
      </c>
      <c r="M31" s="9" t="n">
        <f aca="false">SUMPRODUCT(M$14:M$18,Proyeccion!$F$30:$F$34)</f>
        <v>10882.7909782743</v>
      </c>
      <c r="N31" s="16" t="n">
        <f aca="false">SUM(B31:M31)</f>
        <v>97293.7449414291</v>
      </c>
    </row>
    <row r="32" customFormat="false" ht="15" hidden="false" customHeight="false" outlineLevel="0" collapsed="false">
      <c r="A32" s="4" t="s">
        <v>348</v>
      </c>
      <c r="B32" s="9" t="n">
        <f aca="false">SUMPRODUCT(B$14:B$18,Proyeccion!$G$30:$G$34)</f>
        <v>1803.84591390601</v>
      </c>
      <c r="C32" s="9" t="n">
        <f aca="false">SUMPRODUCT(C$14:C$18,Proyeccion!$G$30:$G$34)</f>
        <v>6528.48881163328</v>
      </c>
      <c r="D32" s="9" t="n">
        <f aca="false">SUMPRODUCT(D$14:D$18,Proyeccion!$G$30:$G$34)</f>
        <v>7577.62295046225</v>
      </c>
      <c r="E32" s="9" t="n">
        <f aca="false">SUMPRODUCT(E$14:E$18,Proyeccion!$G$30:$G$34)</f>
        <v>8773.93106625578</v>
      </c>
      <c r="F32" s="9" t="n">
        <f aca="false">SUMPRODUCT(F$14:F$18,Proyeccion!$G$30:$G$34)</f>
        <v>7959.19605273498</v>
      </c>
      <c r="G32" s="9" t="n">
        <f aca="false">SUMPRODUCT(G$14:G$18,Proyeccion!$G$30:$G$34)</f>
        <v>7241.23216941449</v>
      </c>
      <c r="H32" s="9" t="n">
        <f aca="false">SUMPRODUCT(H$14:H$18,Proyeccion!$G$30:$G$34)</f>
        <v>7166.38870200308</v>
      </c>
      <c r="I32" s="9" t="n">
        <f aca="false">SUMPRODUCT(I$14:I$18,Proyeccion!$G$30:$G$34)</f>
        <v>9577.32354643683</v>
      </c>
      <c r="J32" s="9" t="n">
        <f aca="false">SUMPRODUCT(J$14:J$18,Proyeccion!$G$30:$G$34)</f>
        <v>10282.5329852851</v>
      </c>
      <c r="K32" s="9" t="n">
        <f aca="false">SUMPRODUCT(K$14:K$18,Proyeccion!$G$30:$G$34)</f>
        <v>10663.8552860555</v>
      </c>
      <c r="L32" s="9" t="n">
        <f aca="false">SUMPRODUCT(L$14:L$18,Proyeccion!$G$30:$G$34)</f>
        <v>10281.5506789676</v>
      </c>
      <c r="M32" s="9" t="n">
        <f aca="false">SUMPRODUCT(M$14:M$18,Proyeccion!$G$30:$G$34)</f>
        <v>11076.7301782743</v>
      </c>
      <c r="N32" s="16" t="n">
        <f aca="false">SUM(B32:M32)</f>
        <v>98932.6983414291</v>
      </c>
    </row>
    <row r="33" customFormat="false" ht="15" hidden="false" customHeight="false" outlineLevel="0" collapsed="false">
      <c r="A33" s="4" t="s">
        <v>349</v>
      </c>
      <c r="B33" s="9" t="n">
        <f aca="false">B5*Supuestos!$B$57</f>
        <v>600</v>
      </c>
      <c r="C33" s="9" t="n">
        <f aca="false">C5*Supuestos!$B$57</f>
        <v>1200</v>
      </c>
      <c r="D33" s="9" t="n">
        <f aca="false">D5*Supuestos!$B$57</f>
        <v>1200</v>
      </c>
      <c r="E33" s="9" t="n">
        <f aca="false">E5*Supuestos!$B$57</f>
        <v>1200</v>
      </c>
      <c r="F33" s="9" t="n">
        <f aca="false">F5*Supuestos!$B$57</f>
        <v>1200</v>
      </c>
      <c r="G33" s="9" t="n">
        <f aca="false">G5*Supuestos!$B$57</f>
        <v>1200</v>
      </c>
      <c r="H33" s="9" t="n">
        <f aca="false">H5*Supuestos!$B$57</f>
        <v>1200</v>
      </c>
      <c r="I33" s="9" t="n">
        <f aca="false">I5*Supuestos!$B$57</f>
        <v>1800</v>
      </c>
      <c r="J33" s="9" t="n">
        <f aca="false">J5*Supuestos!$B$57</f>
        <v>1800</v>
      </c>
      <c r="K33" s="9" t="n">
        <f aca="false">K5*Supuestos!$B$57</f>
        <v>1800</v>
      </c>
      <c r="L33" s="9" t="n">
        <f aca="false">L5*Supuestos!$B$57</f>
        <v>1800</v>
      </c>
      <c r="M33" s="9" t="n">
        <f aca="false">M5*Supuestos!$B$57</f>
        <v>1800</v>
      </c>
      <c r="N33" s="16" t="n">
        <f aca="false">SUM(B33:M33)</f>
        <v>16800</v>
      </c>
    </row>
    <row r="34" customFormat="false" ht="15" hidden="false" customHeight="false" outlineLevel="0" collapsed="false">
      <c r="A34" s="4" t="s">
        <v>350</v>
      </c>
      <c r="B34" s="9" t="n">
        <f aca="false">MAX(0,B5-Supuestos!$B$59)*B6*Supuestos!$B$58</f>
        <v>810</v>
      </c>
      <c r="C34" s="9" t="n">
        <f aca="false">MAX(0,C5-Supuestos!$B$59)*C6*Supuestos!$B$58</f>
        <v>1620</v>
      </c>
      <c r="D34" s="9" t="n">
        <f aca="false">MAX(0,D5-Supuestos!$B$59)*D6*Supuestos!$B$58</f>
        <v>1620</v>
      </c>
      <c r="E34" s="9" t="n">
        <f aca="false">MAX(0,E5-Supuestos!$B$59)*E6*Supuestos!$B$58</f>
        <v>1620</v>
      </c>
      <c r="F34" s="9" t="n">
        <f aca="false">MAX(0,F5-Supuestos!$B$59)*F6*Supuestos!$B$58</f>
        <v>1620</v>
      </c>
      <c r="G34" s="9" t="n">
        <f aca="false">MAX(0,G5-Supuestos!$B$59)*G6*Supuestos!$B$58</f>
        <v>1620</v>
      </c>
      <c r="H34" s="9" t="n">
        <f aca="false">MAX(0,H5-Supuestos!$B$59)*H6*Supuestos!$B$58</f>
        <v>1800</v>
      </c>
      <c r="I34" s="9" t="n">
        <f aca="false">MAX(0,I5-Supuestos!$B$59)*I6*Supuestos!$B$58</f>
        <v>2430</v>
      </c>
      <c r="J34" s="9" t="n">
        <f aca="false">MAX(0,J5-Supuestos!$B$59)*J6*Supuestos!$B$58</f>
        <v>2430</v>
      </c>
      <c r="K34" s="9" t="n">
        <f aca="false">MAX(0,K5-Supuestos!$B$59)*K6*Supuestos!$B$58</f>
        <v>2430</v>
      </c>
      <c r="L34" s="9" t="n">
        <f aca="false">MAX(0,L5-Supuestos!$B$59)*L6*Supuestos!$B$58</f>
        <v>2430</v>
      </c>
      <c r="M34" s="9" t="n">
        <f aca="false">MAX(0,M5-Supuestos!$B$59)*M6*Supuestos!$B$58</f>
        <v>3240</v>
      </c>
      <c r="N34" s="16" t="n">
        <f aca="false">SUM(B34:M34)</f>
        <v>23670</v>
      </c>
    </row>
    <row r="35" customFormat="false" ht="15" hidden="false" customHeight="false" outlineLevel="0" collapsed="false">
      <c r="A35" s="4" t="s">
        <v>351</v>
      </c>
      <c r="B35" s="9" t="n">
        <f aca="false">B8*(Supuestos!$B$60+Supuestos!$B$61*Supuestos!$B$58)</f>
        <v>0</v>
      </c>
      <c r="C35" s="9" t="n">
        <f aca="false">C8*(Supuestos!$B$60+Supuestos!$B$61*Supuestos!$B$58)</f>
        <v>2070</v>
      </c>
      <c r="D35" s="9" t="n">
        <f aca="false">D8*(Supuestos!$B$60+Supuestos!$B$61*Supuestos!$B$58)</f>
        <v>0</v>
      </c>
      <c r="E35" s="9" t="n">
        <f aca="false">E8*(Supuestos!$B$60+Supuestos!$B$61*Supuestos!$B$58)</f>
        <v>2070</v>
      </c>
      <c r="F35" s="9" t="n">
        <f aca="false">F8*(Supuestos!$B$60+Supuestos!$B$61*Supuestos!$B$58)</f>
        <v>0</v>
      </c>
      <c r="G35" s="9" t="n">
        <f aca="false">G8*(Supuestos!$B$60+Supuestos!$B$61*Supuestos!$B$58)</f>
        <v>0</v>
      </c>
      <c r="H35" s="9" t="n">
        <f aca="false">H8*(Supuestos!$B$60+Supuestos!$B$61*Supuestos!$B$58)</f>
        <v>0</v>
      </c>
      <c r="I35" s="9" t="n">
        <f aca="false">I8*(Supuestos!$B$60+Supuestos!$B$61*Supuestos!$B$58)</f>
        <v>0</v>
      </c>
      <c r="J35" s="9" t="n">
        <f aca="false">J8*(Supuestos!$B$60+Supuestos!$B$61*Supuestos!$B$58)</f>
        <v>0</v>
      </c>
      <c r="K35" s="9" t="n">
        <f aca="false">K8*(Supuestos!$B$60+Supuestos!$B$61*Supuestos!$B$58)</f>
        <v>0</v>
      </c>
      <c r="L35" s="9" t="n">
        <f aca="false">L8*(Supuestos!$B$60+Supuestos!$B$61*Supuestos!$B$58)</f>
        <v>0</v>
      </c>
      <c r="M35" s="9" t="n">
        <f aca="false">M8*(Supuestos!$B$60+Supuestos!$B$61*Supuestos!$B$58)</f>
        <v>0</v>
      </c>
      <c r="N35" s="16" t="n">
        <f aca="false">SUM(B35:M35)</f>
        <v>4140</v>
      </c>
    </row>
    <row r="36" customFormat="false" ht="15" hidden="false" customHeight="false" outlineLevel="0" collapsed="false">
      <c r="A36" s="4" t="s">
        <v>352</v>
      </c>
      <c r="B36" s="9" t="n">
        <f aca="false">B9*(Supuestos!$B$58+Supuestos!$B$64)</f>
        <v>160</v>
      </c>
      <c r="C36" s="9" t="n">
        <f aca="false">C9*(Supuestos!$B$58+Supuestos!$B$64)</f>
        <v>320</v>
      </c>
      <c r="D36" s="9" t="n">
        <f aca="false">D9*(Supuestos!$B$58+Supuestos!$B$64)</f>
        <v>640</v>
      </c>
      <c r="E36" s="9" t="n">
        <f aca="false">E9*(Supuestos!$B$58+Supuestos!$B$64)</f>
        <v>640</v>
      </c>
      <c r="F36" s="9" t="n">
        <f aca="false">F9*(Supuestos!$B$58+Supuestos!$B$64)</f>
        <v>800</v>
      </c>
      <c r="G36" s="9" t="n">
        <f aca="false">G9*(Supuestos!$B$58+Supuestos!$B$64)</f>
        <v>640</v>
      </c>
      <c r="H36" s="9" t="n">
        <f aca="false">H9*(Supuestos!$B$58+Supuestos!$B$64)</f>
        <v>480</v>
      </c>
      <c r="I36" s="9" t="n">
        <f aca="false">I9*(Supuestos!$B$58+Supuestos!$B$64)</f>
        <v>640</v>
      </c>
      <c r="J36" s="9" t="n">
        <f aca="false">J9*(Supuestos!$B$58+Supuestos!$B$64)</f>
        <v>640</v>
      </c>
      <c r="K36" s="9" t="n">
        <f aca="false">K9*(Supuestos!$B$58+Supuestos!$B$64)</f>
        <v>640</v>
      </c>
      <c r="L36" s="9" t="n">
        <f aca="false">L9*(Supuestos!$B$58+Supuestos!$B$64)</f>
        <v>480</v>
      </c>
      <c r="M36" s="9" t="n">
        <f aca="false">M9*(Supuestos!$B$58+Supuestos!$B$64)</f>
        <v>320</v>
      </c>
      <c r="N36" s="16" t="n">
        <f aca="false">SUM(B36:M36)</f>
        <v>6400</v>
      </c>
    </row>
    <row r="37" customFormat="false" ht="15" hidden="false" customHeight="false" outlineLevel="0" collapsed="false">
      <c r="A37" s="4" t="s">
        <v>353</v>
      </c>
      <c r="B37" s="9" t="n">
        <f aca="false">Supuestos!$B$75</f>
        <v>2738.38888888889</v>
      </c>
      <c r="C37" s="9" t="n">
        <f aca="false">Supuestos!$B$75</f>
        <v>2738.38888888889</v>
      </c>
      <c r="D37" s="9" t="n">
        <f aca="false">Supuestos!$B$75</f>
        <v>2738.38888888889</v>
      </c>
      <c r="E37" s="9" t="n">
        <f aca="false">Supuestos!$B$75</f>
        <v>2738.38888888889</v>
      </c>
      <c r="F37" s="9" t="n">
        <f aca="false">Supuestos!$B$75</f>
        <v>2738.38888888889</v>
      </c>
      <c r="G37" s="9" t="n">
        <f aca="false">Supuestos!$B$75</f>
        <v>2738.38888888889</v>
      </c>
      <c r="H37" s="9" t="n">
        <f aca="false">Supuestos!$B$75</f>
        <v>2738.38888888889</v>
      </c>
      <c r="I37" s="9" t="n">
        <f aca="false">Supuestos!$B$75</f>
        <v>2738.38888888889</v>
      </c>
      <c r="J37" s="9" t="n">
        <f aca="false">Supuestos!$B$75</f>
        <v>2738.38888888889</v>
      </c>
      <c r="K37" s="9" t="n">
        <f aca="false">Supuestos!$B$75</f>
        <v>2738.38888888889</v>
      </c>
      <c r="L37" s="9" t="n">
        <f aca="false">Supuestos!$B$75</f>
        <v>2738.38888888889</v>
      </c>
      <c r="M37" s="9" t="n">
        <f aca="false">Supuestos!$B$75</f>
        <v>2738.38888888889</v>
      </c>
      <c r="N37" s="16" t="n">
        <f aca="false">SUM(B37:M37)</f>
        <v>32860.6666666667</v>
      </c>
    </row>
    <row r="38" customFormat="false" ht="15" hidden="false" customHeight="false" outlineLevel="0" collapsed="false">
      <c r="A38" s="10" t="s">
        <v>354</v>
      </c>
      <c r="B38" s="11" t="n">
        <f aca="false">B31-SUM(B33:B37)</f>
        <v>-2539.19297498288</v>
      </c>
      <c r="C38" s="11" t="n">
        <f aca="false">C31-SUM(C33:C37)</f>
        <v>-1513.14007725561</v>
      </c>
      <c r="D38" s="11" t="n">
        <f aca="false">D31-SUM(D33:D37)</f>
        <v>1253.03246157336</v>
      </c>
      <c r="E38" s="11" t="n">
        <f aca="false">E31-SUM(E33:E37)</f>
        <v>367.950177366891</v>
      </c>
      <c r="F38" s="11" t="n">
        <f aca="false">F31-SUM(F33:F37)</f>
        <v>1463.39156384609</v>
      </c>
      <c r="G38" s="11" t="n">
        <f aca="false">G31-SUM(G33:G37)</f>
        <v>919.968080525596</v>
      </c>
      <c r="H38" s="11" t="n">
        <f aca="false">H31-SUM(H33:H37)</f>
        <v>820.454213114193</v>
      </c>
      <c r="I38" s="11" t="n">
        <f aca="false">I31-SUM(I33:I37)</f>
        <v>1818.15045754794</v>
      </c>
      <c r="J38" s="11" t="n">
        <f aca="false">J31-SUM(J33:J37)</f>
        <v>2506.28689639617</v>
      </c>
      <c r="K38" s="11" t="n">
        <f aca="false">K31-SUM(K33:K37)</f>
        <v>2880.14999716658</v>
      </c>
      <c r="L38" s="11" t="n">
        <f aca="false">L31-SUM(L33:L37)</f>
        <v>2661.62539007875</v>
      </c>
      <c r="M38" s="11" t="n">
        <f aca="false">M31-SUM(M33:M37)</f>
        <v>2784.40208938538</v>
      </c>
      <c r="N38" s="11" t="n">
        <f aca="false">SUM(B38:M38)</f>
        <v>13423.0782747625</v>
      </c>
    </row>
    <row r="39" customFormat="false" ht="15" hidden="false" customHeight="false" outlineLevel="0" collapsed="false">
      <c r="A39" s="10" t="s">
        <v>355</v>
      </c>
      <c r="B39" s="11" t="n">
        <f aca="false">B32-SUM(B33:B37)</f>
        <v>-2504.54297498288</v>
      </c>
      <c r="C39" s="11" t="n">
        <f aca="false">C32-SUM(C33:C37)</f>
        <v>-1419.90007725561</v>
      </c>
      <c r="D39" s="11" t="n">
        <f aca="false">D32-SUM(D33:D37)</f>
        <v>1379.23406157336</v>
      </c>
      <c r="E39" s="11" t="n">
        <f aca="false">E32-SUM(E33:E37)</f>
        <v>505.54217736689</v>
      </c>
      <c r="F39" s="11" t="n">
        <f aca="false">F32-SUM(F33:F37)</f>
        <v>1600.80716384609</v>
      </c>
      <c r="G39" s="11" t="n">
        <f aca="false">G32-SUM(G33:G37)</f>
        <v>1042.8432805256</v>
      </c>
      <c r="H39" s="11" t="n">
        <f aca="false">H32-SUM(H33:H37)</f>
        <v>947.999813114194</v>
      </c>
      <c r="I39" s="11" t="n">
        <f aca="false">I32-SUM(I33:I37)</f>
        <v>1968.93465754794</v>
      </c>
      <c r="J39" s="11" t="n">
        <f aca="false">J32-SUM(J33:J37)</f>
        <v>2674.14409639617</v>
      </c>
      <c r="K39" s="11" t="n">
        <f aca="false">K32-SUM(K33:K37)</f>
        <v>3055.46639716658</v>
      </c>
      <c r="L39" s="11" t="n">
        <f aca="false">L32-SUM(L33:L37)</f>
        <v>2833.16179007876</v>
      </c>
      <c r="M39" s="11" t="n">
        <f aca="false">M32-SUM(M33:M37)</f>
        <v>2978.34128938538</v>
      </c>
      <c r="N39" s="11" t="n">
        <f aca="false">SUM(B39:M39)</f>
        <v>15062.0316747625</v>
      </c>
    </row>
    <row r="40" customFormat="false" ht="15" hidden="false" customHeight="false" outlineLevel="0" collapsed="false">
      <c r="A40" s="4" t="s">
        <v>356</v>
      </c>
      <c r="B40" s="16" t="n">
        <f aca="false">B38</f>
        <v>-2539.19297498288</v>
      </c>
      <c r="C40" s="16" t="n">
        <f aca="false">B40+C38</f>
        <v>-4052.33305223849</v>
      </c>
      <c r="D40" s="16" t="n">
        <f aca="false">C40+D38</f>
        <v>-2799.30059066512</v>
      </c>
      <c r="E40" s="16" t="n">
        <f aca="false">D40+E38</f>
        <v>-2431.35041329823</v>
      </c>
      <c r="F40" s="16" t="n">
        <f aca="false">E40+F38</f>
        <v>-967.958849452145</v>
      </c>
      <c r="G40" s="16" t="n">
        <f aca="false">F40+G38</f>
        <v>-47.9907689265488</v>
      </c>
      <c r="H40" s="16" t="n">
        <f aca="false">G40+H38</f>
        <v>772.463444187645</v>
      </c>
      <c r="I40" s="16" t="n">
        <f aca="false">H40+I38</f>
        <v>2590.61390173558</v>
      </c>
      <c r="J40" s="16" t="n">
        <f aca="false">I40+J38</f>
        <v>5096.90079813175</v>
      </c>
      <c r="K40" s="16" t="n">
        <f aca="false">J40+K38</f>
        <v>7977.05079529833</v>
      </c>
      <c r="L40" s="16" t="n">
        <f aca="false">K40+L38</f>
        <v>10638.6761853771</v>
      </c>
      <c r="M40" s="16" t="n">
        <f aca="false">L40+M38</f>
        <v>13423.0782747625</v>
      </c>
    </row>
    <row r="41" customFormat="false" ht="15" hidden="false" customHeight="false" outlineLevel="0" collapsed="false">
      <c r="A41" s="4" t="s">
        <v>357</v>
      </c>
      <c r="B41" s="16" t="n">
        <f aca="false">B39</f>
        <v>-2504.54297498288</v>
      </c>
      <c r="C41" s="16" t="n">
        <f aca="false">B41+C39</f>
        <v>-3924.44305223849</v>
      </c>
      <c r="D41" s="16" t="n">
        <f aca="false">C41+D39</f>
        <v>-2545.20899066512</v>
      </c>
      <c r="E41" s="16" t="n">
        <f aca="false">D41+E39</f>
        <v>-2039.66681329823</v>
      </c>
      <c r="F41" s="16" t="n">
        <f aca="false">E41+F39</f>
        <v>-438.859649452146</v>
      </c>
      <c r="G41" s="16" t="n">
        <f aca="false">F41+G39</f>
        <v>603.98363107345</v>
      </c>
      <c r="H41" s="16" t="n">
        <f aca="false">G41+H39</f>
        <v>1551.98344418764</v>
      </c>
      <c r="I41" s="16" t="n">
        <f aca="false">H41+I39</f>
        <v>3520.91810173558</v>
      </c>
      <c r="J41" s="16" t="n">
        <f aca="false">I41+J39</f>
        <v>6195.06219813175</v>
      </c>
      <c r="K41" s="16" t="n">
        <f aca="false">J41+K39</f>
        <v>9250.52859529833</v>
      </c>
      <c r="L41" s="16" t="n">
        <f aca="false">K41+L39</f>
        <v>12083.6903853771</v>
      </c>
      <c r="M41" s="16" t="n">
        <f aca="false">L41+M39</f>
        <v>15062.0316747625</v>
      </c>
    </row>
    <row r="42" customFormat="false" ht="15" hidden="false" customHeight="false" outlineLevel="0" collapsed="false">
      <c r="A42" s="4" t="s">
        <v>358</v>
      </c>
      <c r="B42" s="9" t="n">
        <f aca="false">IF(1&lt;=Inversion!$B$49,Inversion!$B$50,0)</f>
        <v>897.810953634801</v>
      </c>
      <c r="C42" s="9" t="n">
        <f aca="false">IF(2&lt;=Inversion!$B$49,Inversion!$B$50,0)</f>
        <v>897.810953634801</v>
      </c>
      <c r="D42" s="9" t="n">
        <f aca="false">IF(3&lt;=Inversion!$B$49,Inversion!$B$50,0)</f>
        <v>897.810953634801</v>
      </c>
      <c r="E42" s="9" t="n">
        <f aca="false">IF(4&lt;=Inversion!$B$49,Inversion!$B$50,0)</f>
        <v>897.810953634801</v>
      </c>
      <c r="F42" s="9" t="n">
        <f aca="false">IF(5&lt;=Inversion!$B$49,Inversion!$B$50,0)</f>
        <v>897.810953634801</v>
      </c>
      <c r="G42" s="9" t="n">
        <f aca="false">IF(6&lt;=Inversion!$B$49,Inversion!$B$50,0)</f>
        <v>897.810953634801</v>
      </c>
      <c r="H42" s="9" t="n">
        <f aca="false">IF(7&lt;=Inversion!$B$49,Inversion!$B$50,0)</f>
        <v>897.810953634801</v>
      </c>
      <c r="I42" s="9" t="n">
        <f aca="false">IF(8&lt;=Inversion!$B$49,Inversion!$B$50,0)</f>
        <v>897.810953634801</v>
      </c>
      <c r="J42" s="9" t="n">
        <f aca="false">IF(9&lt;=Inversion!$B$49,Inversion!$B$50,0)</f>
        <v>897.810953634801</v>
      </c>
      <c r="K42" s="9" t="n">
        <f aca="false">IF(10&lt;=Inversion!$B$49,Inversion!$B$50,0)</f>
        <v>897.810953634801</v>
      </c>
      <c r="L42" s="9" t="n">
        <f aca="false">IF(11&lt;=Inversion!$B$49,Inversion!$B$50,0)</f>
        <v>897.810953634801</v>
      </c>
      <c r="M42" s="9" t="n">
        <f aca="false">IF(12&lt;=Inversion!$B$49,Inversion!$B$50,0)</f>
        <v>897.810953634801</v>
      </c>
      <c r="N42" s="16" t="n">
        <f aca="false">SUM(B42:M42)</f>
        <v>10773.7314436176</v>
      </c>
    </row>
    <row r="43" customFormat="false" ht="15" hidden="false" customHeight="false" outlineLevel="0" collapsed="false">
      <c r="A43" s="4" t="s">
        <v>359</v>
      </c>
      <c r="B43" s="9" t="n">
        <f aca="false">Supuestos!$B$74</f>
        <v>134.388888888889</v>
      </c>
      <c r="C43" s="9" t="n">
        <f aca="false">Supuestos!$B$74</f>
        <v>134.388888888889</v>
      </c>
      <c r="D43" s="9" t="n">
        <f aca="false">Supuestos!$B$74</f>
        <v>134.388888888889</v>
      </c>
      <c r="E43" s="9" t="n">
        <f aca="false">Supuestos!$B$74</f>
        <v>134.388888888889</v>
      </c>
      <c r="F43" s="9" t="n">
        <f aca="false">Supuestos!$B$74</f>
        <v>134.388888888889</v>
      </c>
      <c r="G43" s="9" t="n">
        <f aca="false">Supuestos!$B$74</f>
        <v>134.388888888889</v>
      </c>
      <c r="H43" s="9" t="n">
        <f aca="false">Supuestos!$B$74</f>
        <v>134.388888888889</v>
      </c>
      <c r="I43" s="9" t="n">
        <f aca="false">Supuestos!$B$74</f>
        <v>134.388888888889</v>
      </c>
      <c r="J43" s="9" t="n">
        <f aca="false">Supuestos!$B$74</f>
        <v>134.388888888889</v>
      </c>
      <c r="K43" s="9" t="n">
        <f aca="false">Supuestos!$B$74</f>
        <v>134.388888888889</v>
      </c>
      <c r="L43" s="9" t="n">
        <f aca="false">Supuestos!$B$74</f>
        <v>134.388888888889</v>
      </c>
      <c r="M43" s="9" t="n">
        <f aca="false">Supuestos!$B$74</f>
        <v>134.388888888889</v>
      </c>
      <c r="N43" s="16" t="n">
        <f aca="false">SUM(B43:M43)</f>
        <v>1612.66666666667</v>
      </c>
    </row>
    <row r="44" customFormat="false" ht="15" hidden="false" customHeight="false" outlineLevel="0" collapsed="false">
      <c r="A44" s="10" t="s">
        <v>360</v>
      </c>
      <c r="B44" s="11" t="n">
        <f aca="false">Inversion!$B$34+Inversion!$B$52+B38+B43-B42</f>
        <v>4821.70396027121</v>
      </c>
      <c r="C44" s="11" t="n">
        <f aca="false">B44+C38+C43-C42</f>
        <v>2545.14181826969</v>
      </c>
      <c r="D44" s="11" t="n">
        <f aca="false">C44+D38+D43-D42</f>
        <v>3034.75221509714</v>
      </c>
      <c r="E44" s="11" t="n">
        <f aca="false">D44+E38+E43-E42</f>
        <v>2639.28032771812</v>
      </c>
      <c r="F44" s="11" t="n">
        <f aca="false">E44+F38+F43-F42</f>
        <v>3339.2498268183</v>
      </c>
      <c r="G44" s="11" t="n">
        <f aca="false">F44+G38+G43-G42</f>
        <v>3495.79584259798</v>
      </c>
      <c r="H44" s="11" t="n">
        <f aca="false">G44+H38+H43-H42</f>
        <v>3552.82799096626</v>
      </c>
      <c r="I44" s="11" t="n">
        <f aca="false">H44+I38+I43-I42</f>
        <v>4607.55638376829</v>
      </c>
      <c r="J44" s="11" t="n">
        <f aca="false">I44+J38+J43-J42</f>
        <v>6350.42121541854</v>
      </c>
      <c r="K44" s="11" t="n">
        <f aca="false">J44+K38+K43-K42</f>
        <v>8467.14914783921</v>
      </c>
      <c r="L44" s="11" t="n">
        <f aca="false">K44+L38+L43-L42</f>
        <v>10365.3524731721</v>
      </c>
      <c r="M44" s="11" t="n">
        <f aca="false">L44+M38+M43-M42</f>
        <v>12386.3324978115</v>
      </c>
    </row>
    <row r="46" customFormat="false" ht="15" hidden="false" customHeight="false" outlineLevel="0" collapsed="false">
      <c r="A46" s="4" t="s">
        <v>361</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13" min="2" style="0" width="12"/>
    <col collapsed="false" customWidth="true" hidden="false" outlineLevel="0" max="14" min="14" style="0" width="13"/>
  </cols>
  <sheetData>
    <row r="1" customFormat="false" ht="17.35" hidden="false" customHeight="false" outlineLevel="0" collapsed="false">
      <c r="A1" s="1" t="s">
        <v>362</v>
      </c>
    </row>
    <row r="2" customFormat="false" ht="15" hidden="false" customHeight="false" outlineLevel="0" collapsed="false">
      <c r="A2" s="4" t="s">
        <v>363</v>
      </c>
    </row>
    <row r="4" customFormat="false" ht="30" hidden="false" customHeight="true" outlineLevel="0" collapsed="false">
      <c r="A4" s="5" t="s">
        <v>317</v>
      </c>
      <c r="B4" s="5" t="s">
        <v>364</v>
      </c>
      <c r="C4" s="5" t="s">
        <v>365</v>
      </c>
      <c r="D4" s="5" t="s">
        <v>366</v>
      </c>
      <c r="E4" s="5" t="s">
        <v>367</v>
      </c>
      <c r="F4" s="5" t="s">
        <v>368</v>
      </c>
      <c r="G4" s="5" t="s">
        <v>369</v>
      </c>
      <c r="H4" s="5" t="s">
        <v>370</v>
      </c>
      <c r="I4" s="5" t="s">
        <v>371</v>
      </c>
      <c r="J4" s="5" t="s">
        <v>372</v>
      </c>
      <c r="K4" s="5" t="s">
        <v>373</v>
      </c>
      <c r="L4" s="5" t="s">
        <v>374</v>
      </c>
      <c r="M4" s="5" t="s">
        <v>375</v>
      </c>
      <c r="N4" s="5" t="s">
        <v>376</v>
      </c>
    </row>
    <row r="5" customFormat="false" ht="15" hidden="false" customHeight="false" outlineLevel="0" collapsed="false">
      <c r="A5" s="4" t="s">
        <v>331</v>
      </c>
      <c r="B5" s="28" t="n">
        <v>3</v>
      </c>
      <c r="C5" s="28" t="n">
        <v>3</v>
      </c>
      <c r="D5" s="28" t="n">
        <v>3</v>
      </c>
      <c r="E5" s="28" t="n">
        <v>3</v>
      </c>
      <c r="F5" s="28" t="n">
        <v>3</v>
      </c>
      <c r="G5" s="28" t="n">
        <v>3</v>
      </c>
      <c r="H5" s="28" t="n">
        <v>3</v>
      </c>
      <c r="I5" s="28" t="n">
        <v>3</v>
      </c>
      <c r="J5" s="28" t="n">
        <v>3</v>
      </c>
      <c r="K5" s="28" t="n">
        <v>3</v>
      </c>
      <c r="L5" s="28" t="n">
        <v>3</v>
      </c>
      <c r="M5" s="28" t="n">
        <v>3</v>
      </c>
      <c r="N5" s="15" t="n">
        <f aca="false">SUM(B5:M5)</f>
        <v>36</v>
      </c>
    </row>
    <row r="6" customFormat="false" ht="15" hidden="false" customHeight="false" outlineLevel="0" collapsed="false">
      <c r="A6" s="4" t="s">
        <v>332</v>
      </c>
      <c r="B6" s="28" t="n">
        <v>9</v>
      </c>
      <c r="C6" s="28" t="n">
        <v>9</v>
      </c>
      <c r="D6" s="28" t="n">
        <v>9</v>
      </c>
      <c r="E6" s="28" t="n">
        <v>9</v>
      </c>
      <c r="F6" s="28" t="n">
        <v>9</v>
      </c>
      <c r="G6" s="28" t="n">
        <v>9</v>
      </c>
      <c r="H6" s="28" t="n">
        <v>10</v>
      </c>
      <c r="I6" s="28" t="n">
        <v>9</v>
      </c>
      <c r="J6" s="28" t="n">
        <v>9</v>
      </c>
      <c r="K6" s="28" t="n">
        <v>9</v>
      </c>
      <c r="L6" s="28" t="n">
        <v>9</v>
      </c>
      <c r="M6" s="28" t="n">
        <v>12</v>
      </c>
      <c r="N6" s="15" t="n">
        <f aca="false">SUM(B6:M6)</f>
        <v>112</v>
      </c>
    </row>
    <row r="7" customFormat="false" ht="15" hidden="false" customHeight="false" outlineLevel="0" collapsed="false">
      <c r="A7" s="4" t="s">
        <v>377</v>
      </c>
      <c r="B7" s="28" t="n">
        <v>80</v>
      </c>
      <c r="C7" s="28" t="n">
        <v>80</v>
      </c>
      <c r="D7" s="28" t="n">
        <v>90</v>
      </c>
      <c r="E7" s="28" t="n">
        <v>90</v>
      </c>
      <c r="F7" s="28" t="n">
        <v>90</v>
      </c>
      <c r="G7" s="28" t="n">
        <v>90</v>
      </c>
      <c r="H7" s="28" t="n">
        <v>90</v>
      </c>
      <c r="I7" s="28" t="n">
        <v>90</v>
      </c>
      <c r="J7" s="28" t="n">
        <v>90</v>
      </c>
      <c r="K7" s="28" t="n">
        <v>90</v>
      </c>
      <c r="L7" s="28" t="n">
        <v>90</v>
      </c>
      <c r="M7" s="28" t="n">
        <v>90</v>
      </c>
      <c r="N7" s="15" t="n">
        <f aca="false">SUM(B7:M7)</f>
        <v>1060</v>
      </c>
    </row>
    <row r="8" customFormat="false" ht="15" hidden="false" customHeight="false" outlineLevel="0" collapsed="false">
      <c r="A8" s="4" t="s">
        <v>378</v>
      </c>
      <c r="B8" s="28" t="n">
        <v>0</v>
      </c>
      <c r="C8" s="28" t="n">
        <v>1</v>
      </c>
      <c r="D8" s="28" t="n">
        <v>0</v>
      </c>
      <c r="E8" s="28" t="n">
        <v>1</v>
      </c>
      <c r="F8" s="28" t="n">
        <v>0</v>
      </c>
      <c r="G8" s="28" t="n">
        <v>0</v>
      </c>
      <c r="H8" s="28" t="n">
        <v>0</v>
      </c>
      <c r="I8" s="28" t="n">
        <v>0</v>
      </c>
      <c r="J8" s="28" t="n">
        <v>0</v>
      </c>
      <c r="K8" s="28" t="n">
        <v>0</v>
      </c>
      <c r="L8" s="28" t="n">
        <v>0</v>
      </c>
      <c r="M8" s="28" t="n">
        <v>0</v>
      </c>
      <c r="N8" s="15" t="n">
        <f aca="false">SUM(B8:M8)</f>
        <v>2</v>
      </c>
    </row>
    <row r="9" customFormat="false" ht="15" hidden="false" customHeight="false" outlineLevel="0" collapsed="false">
      <c r="A9" s="4" t="s">
        <v>335</v>
      </c>
      <c r="B9" s="28" t="n">
        <v>2</v>
      </c>
      <c r="C9" s="28" t="n">
        <v>2</v>
      </c>
      <c r="D9" s="28" t="n">
        <v>4</v>
      </c>
      <c r="E9" s="28" t="n">
        <v>4</v>
      </c>
      <c r="F9" s="28" t="n">
        <v>4</v>
      </c>
      <c r="G9" s="28" t="n">
        <v>4</v>
      </c>
      <c r="H9" s="28" t="n">
        <v>3</v>
      </c>
      <c r="I9" s="28" t="n">
        <v>4</v>
      </c>
      <c r="J9" s="28" t="n">
        <v>4</v>
      </c>
      <c r="K9" s="28" t="n">
        <v>4</v>
      </c>
      <c r="L9" s="28" t="n">
        <v>4</v>
      </c>
      <c r="M9" s="28" t="n">
        <v>2</v>
      </c>
      <c r="N9" s="15" t="n">
        <f aca="false">SUM(B9:M9)</f>
        <v>41</v>
      </c>
    </row>
    <row r="10" customFormat="false" ht="15" hidden="false" customHeight="false" outlineLevel="0" collapsed="false">
      <c r="A10" s="4" t="s">
        <v>379</v>
      </c>
      <c r="B10" s="32" t="n">
        <v>0</v>
      </c>
      <c r="C10" s="32" t="n">
        <v>0</v>
      </c>
      <c r="D10" s="32" t="n">
        <v>1200</v>
      </c>
      <c r="E10" s="32" t="n">
        <v>1500</v>
      </c>
      <c r="F10" s="32" t="n">
        <v>1500</v>
      </c>
      <c r="G10" s="32" t="n">
        <v>1500</v>
      </c>
      <c r="H10" s="32" t="n">
        <v>900</v>
      </c>
      <c r="I10" s="32" t="n">
        <v>1500</v>
      </c>
      <c r="J10" s="32" t="n">
        <v>1500</v>
      </c>
      <c r="K10" s="32" t="n">
        <v>1500</v>
      </c>
      <c r="L10" s="32" t="n">
        <v>1500</v>
      </c>
      <c r="M10" s="32" t="n">
        <v>600</v>
      </c>
      <c r="N10" s="15" t="n">
        <f aca="false">SUM(B10:M10)</f>
        <v>13200</v>
      </c>
    </row>
    <row r="11" customFormat="false" ht="15" hidden="false" customHeight="false" outlineLevel="0" collapsed="false">
      <c r="A11" s="4" t="s">
        <v>337</v>
      </c>
      <c r="B11" s="32" t="n">
        <v>480</v>
      </c>
      <c r="C11" s="32" t="n">
        <v>480</v>
      </c>
      <c r="D11" s="32" t="n">
        <v>540</v>
      </c>
      <c r="E11" s="32" t="n">
        <v>540</v>
      </c>
      <c r="F11" s="32" t="n">
        <v>540</v>
      </c>
      <c r="G11" s="32" t="n">
        <v>600</v>
      </c>
      <c r="H11" s="32" t="n">
        <v>600</v>
      </c>
      <c r="I11" s="32" t="n">
        <v>600</v>
      </c>
      <c r="J11" s="32" t="n">
        <v>600</v>
      </c>
      <c r="K11" s="32" t="n">
        <v>660</v>
      </c>
      <c r="L11" s="32" t="n">
        <v>660</v>
      </c>
      <c r="M11" s="32" t="n">
        <v>660</v>
      </c>
      <c r="N11" s="15" t="n">
        <f aca="false">SUM(B11:M11)</f>
        <v>6960</v>
      </c>
    </row>
    <row r="13" customFormat="false" ht="30" hidden="false" customHeight="true" outlineLevel="0" collapsed="false">
      <c r="A13" s="5" t="s">
        <v>338</v>
      </c>
      <c r="B13" s="5" t="s">
        <v>364</v>
      </c>
      <c r="C13" s="5" t="s">
        <v>365</v>
      </c>
      <c r="D13" s="5" t="s">
        <v>366</v>
      </c>
      <c r="E13" s="5" t="s">
        <v>367</v>
      </c>
      <c r="F13" s="5" t="s">
        <v>368</v>
      </c>
      <c r="G13" s="5" t="s">
        <v>369</v>
      </c>
      <c r="H13" s="5" t="s">
        <v>370</v>
      </c>
      <c r="I13" s="5" t="s">
        <v>371</v>
      </c>
      <c r="J13" s="5" t="s">
        <v>372</v>
      </c>
      <c r="K13" s="5" t="s">
        <v>373</v>
      </c>
      <c r="L13" s="5" t="s">
        <v>374</v>
      </c>
      <c r="M13" s="5" t="s">
        <v>375</v>
      </c>
      <c r="N13" s="5" t="s">
        <v>376</v>
      </c>
    </row>
    <row r="14" customFormat="false" ht="15" hidden="false" customHeight="false" outlineLevel="0" collapsed="false">
      <c r="A14" s="4" t="s">
        <v>128</v>
      </c>
      <c r="B14" s="15" t="n">
        <f aca="false">B5*B6*B7</f>
        <v>2160</v>
      </c>
      <c r="C14" s="15" t="n">
        <f aca="false">C5*C6*C7</f>
        <v>2160</v>
      </c>
      <c r="D14" s="15" t="n">
        <f aca="false">D5*D6*D7</f>
        <v>2430</v>
      </c>
      <c r="E14" s="15" t="n">
        <f aca="false">E5*E6*E7</f>
        <v>2430</v>
      </c>
      <c r="F14" s="15" t="n">
        <f aca="false">F5*F6*F7</f>
        <v>2430</v>
      </c>
      <c r="G14" s="15" t="n">
        <f aca="false">G5*G6*G7</f>
        <v>2430</v>
      </c>
      <c r="H14" s="15" t="n">
        <f aca="false">H5*H6*H7</f>
        <v>2700</v>
      </c>
      <c r="I14" s="15" t="n">
        <f aca="false">I5*I6*I7</f>
        <v>2430</v>
      </c>
      <c r="J14" s="15" t="n">
        <f aca="false">J5*J6*J7</f>
        <v>2430</v>
      </c>
      <c r="K14" s="15" t="n">
        <f aca="false">K5*K6*K7</f>
        <v>2430</v>
      </c>
      <c r="L14" s="15" t="n">
        <f aca="false">L5*L6*L7</f>
        <v>2430</v>
      </c>
      <c r="M14" s="15" t="n">
        <f aca="false">M5*M6*M7</f>
        <v>3240</v>
      </c>
      <c r="N14" s="15" t="n">
        <f aca="false">SUM(B14:M14)</f>
        <v>29700</v>
      </c>
    </row>
    <row r="15" customFormat="false" ht="15" hidden="false" customHeight="false" outlineLevel="0" collapsed="false">
      <c r="A15" s="4" t="s">
        <v>130</v>
      </c>
      <c r="B15" s="15" t="n">
        <f aca="false">B8*Supuestos!$B$62+B9*Supuestos!$B$63</f>
        <v>300</v>
      </c>
      <c r="C15" s="15" t="n">
        <f aca="false">C8*Supuestos!$B$62+C9*Supuestos!$B$63</f>
        <v>1000</v>
      </c>
      <c r="D15" s="15" t="n">
        <f aca="false">D8*Supuestos!$B$62+D9*Supuestos!$B$63</f>
        <v>600</v>
      </c>
      <c r="E15" s="15" t="n">
        <f aca="false">E8*Supuestos!$B$62+E9*Supuestos!$B$63</f>
        <v>1300</v>
      </c>
      <c r="F15" s="15" t="n">
        <f aca="false">F8*Supuestos!$B$62+F9*Supuestos!$B$63</f>
        <v>600</v>
      </c>
      <c r="G15" s="15" t="n">
        <f aca="false">G8*Supuestos!$B$62+G9*Supuestos!$B$63</f>
        <v>600</v>
      </c>
      <c r="H15" s="15" t="n">
        <f aca="false">H8*Supuestos!$B$62+H9*Supuestos!$B$63</f>
        <v>450</v>
      </c>
      <c r="I15" s="15" t="n">
        <f aca="false">I8*Supuestos!$B$62+I9*Supuestos!$B$63</f>
        <v>600</v>
      </c>
      <c r="J15" s="15" t="n">
        <f aca="false">J8*Supuestos!$B$62+J9*Supuestos!$B$63</f>
        <v>600</v>
      </c>
      <c r="K15" s="15" t="n">
        <f aca="false">K8*Supuestos!$B$62+K9*Supuestos!$B$63</f>
        <v>600</v>
      </c>
      <c r="L15" s="15" t="n">
        <f aca="false">L8*Supuestos!$B$62+L9*Supuestos!$B$63</f>
        <v>600</v>
      </c>
      <c r="M15" s="15" t="n">
        <f aca="false">M8*Supuestos!$B$62+M9*Supuestos!$B$63</f>
        <v>300</v>
      </c>
      <c r="N15" s="15" t="n">
        <f aca="false">SUM(B15:M15)</f>
        <v>7550</v>
      </c>
    </row>
    <row r="16" customFormat="false" ht="15" hidden="false" customHeight="false" outlineLevel="0" collapsed="false">
      <c r="A16" s="4" t="s">
        <v>132</v>
      </c>
      <c r="B16" s="8" t="n">
        <f aca="false">ROUND(Supuestos!$B$65*(Mensual!M14+Mensual!M15),0)</f>
        <v>1239</v>
      </c>
      <c r="C16" s="8" t="n">
        <f aca="false">ROUND(Supuestos!$B$65*(B14+B15),0)</f>
        <v>861</v>
      </c>
      <c r="D16" s="8" t="n">
        <f aca="false">ROUND(Supuestos!$B$65*(C14+C15),0)</f>
        <v>1106</v>
      </c>
      <c r="E16" s="8" t="n">
        <f aca="false">ROUND(Supuestos!$B$65*(D14+D15),0)</f>
        <v>1061</v>
      </c>
      <c r="F16" s="8" t="n">
        <f aca="false">ROUND(Supuestos!$B$65*(E14+E15),0)</f>
        <v>1306</v>
      </c>
      <c r="G16" s="8" t="n">
        <f aca="false">ROUND(Supuestos!$B$65*(F14+F15),0)</f>
        <v>1061</v>
      </c>
      <c r="H16" s="8" t="n">
        <f aca="false">ROUND(Supuestos!$B$65*(G14+G15),0)</f>
        <v>1061</v>
      </c>
      <c r="I16" s="8" t="n">
        <f aca="false">ROUND(Supuestos!$B$65*(H14+H15),0)</f>
        <v>1103</v>
      </c>
      <c r="J16" s="8" t="n">
        <f aca="false">ROUND(Supuestos!$B$65*(I14+I15),0)</f>
        <v>1061</v>
      </c>
      <c r="K16" s="8" t="n">
        <f aca="false">ROUND(Supuestos!$B$65*(J14+J15),0)</f>
        <v>1061</v>
      </c>
      <c r="L16" s="8" t="n">
        <f aca="false">ROUND(Supuestos!$B$65*(K14+K15),0)</f>
        <v>1061</v>
      </c>
      <c r="M16" s="8" t="n">
        <f aca="false">ROUND(Supuestos!$B$65*(L14+L15),0)</f>
        <v>1061</v>
      </c>
      <c r="N16" s="15" t="n">
        <f aca="false">SUM(B16:M16)</f>
        <v>13042</v>
      </c>
    </row>
    <row r="17" customFormat="false" ht="15" hidden="false" customHeight="false" outlineLevel="0" collapsed="false">
      <c r="A17" s="4" t="s">
        <v>134</v>
      </c>
      <c r="B17" s="15" t="n">
        <f aca="false">B10</f>
        <v>0</v>
      </c>
      <c r="C17" s="15" t="n">
        <f aca="false">C10</f>
        <v>0</v>
      </c>
      <c r="D17" s="15" t="n">
        <f aca="false">D10</f>
        <v>1200</v>
      </c>
      <c r="E17" s="15" t="n">
        <f aca="false">E10</f>
        <v>1500</v>
      </c>
      <c r="F17" s="15" t="n">
        <f aca="false">F10</f>
        <v>1500</v>
      </c>
      <c r="G17" s="15" t="n">
        <f aca="false">G10</f>
        <v>1500</v>
      </c>
      <c r="H17" s="15" t="n">
        <f aca="false">H10</f>
        <v>900</v>
      </c>
      <c r="I17" s="15" t="n">
        <f aca="false">I10</f>
        <v>1500</v>
      </c>
      <c r="J17" s="15" t="n">
        <f aca="false">J10</f>
        <v>1500</v>
      </c>
      <c r="K17" s="15" t="n">
        <f aca="false">K10</f>
        <v>1500</v>
      </c>
      <c r="L17" s="15" t="n">
        <f aca="false">L10</f>
        <v>1500</v>
      </c>
      <c r="M17" s="15" t="n">
        <f aca="false">M10</f>
        <v>600</v>
      </c>
      <c r="N17" s="15" t="n">
        <f aca="false">SUM(B17:M17)</f>
        <v>13200</v>
      </c>
    </row>
    <row r="18" customFormat="false" ht="15" hidden="false" customHeight="false" outlineLevel="0" collapsed="false">
      <c r="A18" s="4" t="s">
        <v>136</v>
      </c>
      <c r="B18" s="15" t="n">
        <f aca="false">B11</f>
        <v>480</v>
      </c>
      <c r="C18" s="15" t="n">
        <f aca="false">C11</f>
        <v>480</v>
      </c>
      <c r="D18" s="15" t="n">
        <f aca="false">D11</f>
        <v>540</v>
      </c>
      <c r="E18" s="15" t="n">
        <f aca="false">E11</f>
        <v>540</v>
      </c>
      <c r="F18" s="15" t="n">
        <f aca="false">F11</f>
        <v>540</v>
      </c>
      <c r="G18" s="15" t="n">
        <f aca="false">G11</f>
        <v>600</v>
      </c>
      <c r="H18" s="15" t="n">
        <f aca="false">H11</f>
        <v>600</v>
      </c>
      <c r="I18" s="15" t="n">
        <f aca="false">I11</f>
        <v>600</v>
      </c>
      <c r="J18" s="15" t="n">
        <f aca="false">J11</f>
        <v>600</v>
      </c>
      <c r="K18" s="15" t="n">
        <f aca="false">K11</f>
        <v>660</v>
      </c>
      <c r="L18" s="15" t="n">
        <f aca="false">L11</f>
        <v>660</v>
      </c>
      <c r="M18" s="15" t="n">
        <f aca="false">M11</f>
        <v>660</v>
      </c>
      <c r="N18" s="15" t="n">
        <f aca="false">SUM(B18:M18)</f>
        <v>6960</v>
      </c>
    </row>
    <row r="19" customFormat="false" ht="15" hidden="false" customHeight="false" outlineLevel="0" collapsed="false">
      <c r="A19" s="10" t="s">
        <v>339</v>
      </c>
      <c r="B19" s="35" t="n">
        <f aca="false">SUM(B14:B18)</f>
        <v>4179</v>
      </c>
      <c r="C19" s="35" t="n">
        <f aca="false">SUM(C14:C18)</f>
        <v>4501</v>
      </c>
      <c r="D19" s="35" t="n">
        <f aca="false">SUM(D14:D18)</f>
        <v>5876</v>
      </c>
      <c r="E19" s="35" t="n">
        <f aca="false">SUM(E14:E18)</f>
        <v>6831</v>
      </c>
      <c r="F19" s="35" t="n">
        <f aca="false">SUM(F14:F18)</f>
        <v>6376</v>
      </c>
      <c r="G19" s="35" t="n">
        <f aca="false">SUM(G14:G18)</f>
        <v>6191</v>
      </c>
      <c r="H19" s="35" t="n">
        <f aca="false">SUM(H14:H18)</f>
        <v>5711</v>
      </c>
      <c r="I19" s="35" t="n">
        <f aca="false">SUM(I14:I18)</f>
        <v>6233</v>
      </c>
      <c r="J19" s="35" t="n">
        <f aca="false">SUM(J14:J18)</f>
        <v>6191</v>
      </c>
      <c r="K19" s="35" t="n">
        <f aca="false">SUM(K14:K18)</f>
        <v>6251</v>
      </c>
      <c r="L19" s="35" t="n">
        <f aca="false">SUM(L14:L18)</f>
        <v>6251</v>
      </c>
      <c r="M19" s="35" t="n">
        <f aca="false">SUM(M14:M18)</f>
        <v>5861</v>
      </c>
      <c r="N19" s="35" t="n">
        <f aca="false">SUM(N14:N18)</f>
        <v>70452</v>
      </c>
    </row>
    <row r="21" customFormat="false" ht="15" hidden="false" customHeight="false" outlineLevel="0" collapsed="false">
      <c r="A21" s="20" t="s">
        <v>380</v>
      </c>
      <c r="B21" s="21"/>
      <c r="C21" s="21"/>
      <c r="D21" s="21"/>
      <c r="E21" s="21"/>
      <c r="F21" s="21"/>
      <c r="G21" s="21"/>
      <c r="H21" s="21"/>
      <c r="I21" s="21"/>
      <c r="J21" s="21"/>
      <c r="K21" s="21"/>
      <c r="L21" s="21"/>
      <c r="M21" s="21"/>
      <c r="N21" s="21"/>
    </row>
    <row r="22" customFormat="false" ht="15" hidden="false" customHeight="false" outlineLevel="0" collapsed="false">
      <c r="A22" s="4" t="s">
        <v>41</v>
      </c>
      <c r="B22" s="9" t="n">
        <f aca="false">SUMPRODUCT(B$14:B$18,Proyeccion!$H$30:$H$34)</f>
        <v>20168.1625</v>
      </c>
      <c r="C22" s="9" t="n">
        <f aca="false">SUMPRODUCT(C$14:C$18,Proyeccion!$H$30:$H$34)</f>
        <v>22410.0875</v>
      </c>
      <c r="D22" s="9" t="n">
        <f aca="false">SUMPRODUCT(D$14:D$18,Proyeccion!$H$30:$H$34)</f>
        <v>26736.0875</v>
      </c>
      <c r="E22" s="9" t="n">
        <f aca="false">SUMPRODUCT(E$14:E$18,Proyeccion!$H$30:$H$34)</f>
        <v>31382.4</v>
      </c>
      <c r="F22" s="9" t="n">
        <f aca="false">SUMPRODUCT(F$14:F$18,Proyeccion!$H$30:$H$34)</f>
        <v>28563.5875</v>
      </c>
      <c r="G22" s="9" t="n">
        <f aca="false">SUMPRODUCT(G$14:G$18,Proyeccion!$H$30:$H$34)</f>
        <v>27685.9</v>
      </c>
      <c r="H22" s="9" t="n">
        <f aca="false">SUMPRODUCT(H$14:H$18,Proyeccion!$H$30:$H$34)</f>
        <v>26390.4625</v>
      </c>
      <c r="I22" s="9" t="n">
        <f aca="false">SUMPRODUCT(I$14:I$18,Proyeccion!$H$30:$H$34)</f>
        <v>27868.075</v>
      </c>
      <c r="J22" s="9" t="n">
        <f aca="false">SUMPRODUCT(J$14:J$18,Proyeccion!$H$30:$H$34)</f>
        <v>27685.9</v>
      </c>
      <c r="K22" s="9" t="n">
        <f aca="false">SUMPRODUCT(K$14:K$18,Proyeccion!$H$30:$H$34)</f>
        <v>27870.9</v>
      </c>
      <c r="L22" s="9" t="n">
        <f aca="false">SUMPRODUCT(L$14:L$18,Proyeccion!$H$30:$H$34)</f>
        <v>27870.9</v>
      </c>
      <c r="M22" s="9" t="n">
        <f aca="false">SUMPRODUCT(M$14:M$18,Proyeccion!$H$30:$H$34)</f>
        <v>27696.3375</v>
      </c>
      <c r="N22" s="16" t="n">
        <f aca="false">SUM(B22:M22)</f>
        <v>322328.8</v>
      </c>
    </row>
    <row r="23" customFormat="false" ht="15" hidden="false" customHeight="false" outlineLevel="0" collapsed="false">
      <c r="A23" s="4" t="s">
        <v>42</v>
      </c>
      <c r="B23" s="16" t="n">
        <f aca="false">B22/(1+Supuestos!$B$26)</f>
        <v>17091.6631355932</v>
      </c>
      <c r="C23" s="16" t="n">
        <f aca="false">C22/(1+Supuestos!$B$26)</f>
        <v>18991.5995762712</v>
      </c>
      <c r="D23" s="16" t="n">
        <f aca="false">D22/(1+Supuestos!$B$26)</f>
        <v>22657.7012711864</v>
      </c>
      <c r="E23" s="16" t="n">
        <f aca="false">E22/(1+Supuestos!$B$26)</f>
        <v>26595.2542372881</v>
      </c>
      <c r="F23" s="16" t="n">
        <f aca="false">F22/(1+Supuestos!$B$26)</f>
        <v>24206.4300847458</v>
      </c>
      <c r="G23" s="16" t="n">
        <f aca="false">G22/(1+Supuestos!$B$26)</f>
        <v>23462.6271186441</v>
      </c>
      <c r="H23" s="16" t="n">
        <f aca="false">H22/(1+Supuestos!$B$26)</f>
        <v>22364.7987288136</v>
      </c>
      <c r="I23" s="16" t="n">
        <f aca="false">I22/(1+Supuestos!$B$26)</f>
        <v>23617.0127118644</v>
      </c>
      <c r="J23" s="16" t="n">
        <f aca="false">J22/(1+Supuestos!$B$26)</f>
        <v>23462.6271186441</v>
      </c>
      <c r="K23" s="16" t="n">
        <f aca="false">K22/(1+Supuestos!$B$26)</f>
        <v>23619.406779661</v>
      </c>
      <c r="L23" s="16" t="n">
        <f aca="false">L22/(1+Supuestos!$B$26)</f>
        <v>23619.406779661</v>
      </c>
      <c r="M23" s="16" t="n">
        <f aca="false">M22/(1+Supuestos!$B$26)</f>
        <v>23471.4724576271</v>
      </c>
      <c r="N23" s="16" t="n">
        <f aca="false">SUM(B23:M23)</f>
        <v>273160</v>
      </c>
    </row>
    <row r="24" customFormat="false" ht="15" hidden="false" customHeight="false" outlineLevel="0" collapsed="false">
      <c r="A24" s="4" t="s">
        <v>381</v>
      </c>
      <c r="B24" s="9" t="n">
        <f aca="false">SUMPRODUCT(B$14:B$18,Proyeccion!$F$30:$F$34)</f>
        <v>8079.06229287365</v>
      </c>
      <c r="C24" s="9" t="n">
        <f aca="false">SUMPRODUCT(C$14:C$18,Proyeccion!$F$30:$F$34)</f>
        <v>9318.84292823575</v>
      </c>
      <c r="D24" s="9" t="n">
        <f aca="false">SUMPRODUCT(D$14:D$18,Proyeccion!$F$30:$F$34)</f>
        <v>10387.3753562019</v>
      </c>
      <c r="E24" s="9" t="n">
        <f aca="false">SUMPRODUCT(E$14:E$18,Proyeccion!$F$30:$F$34)</f>
        <v>12350.4021449153</v>
      </c>
      <c r="F24" s="9" t="n">
        <f aca="false">SUMPRODUCT(F$14:F$18,Proyeccion!$F$30:$F$34)</f>
        <v>10925.3125634438</v>
      </c>
      <c r="G24" s="9" t="n">
        <f aca="false">SUMPRODUCT(G$14:G$18,Proyeccion!$F$30:$F$34)</f>
        <v>10631.6615247304</v>
      </c>
      <c r="H24" s="9" t="n">
        <f aca="false">SUMPRODUCT(H$14:H$18,Proyeccion!$F$30:$F$34)</f>
        <v>10386.3393392527</v>
      </c>
      <c r="I24" s="9" t="n">
        <f aca="false">SUMPRODUCT(I$14:I$18,Proyeccion!$F$30:$F$34)</f>
        <v>10690.1801392912</v>
      </c>
      <c r="J24" s="9" t="n">
        <f aca="false">SUMPRODUCT(J$14:J$18,Proyeccion!$F$30:$F$34)</f>
        <v>10631.6615247304</v>
      </c>
      <c r="K24" s="9" t="n">
        <f aca="false">SUMPRODUCT(K$14:K$18,Proyeccion!$F$30:$F$34)</f>
        <v>10679.3690709553</v>
      </c>
      <c r="L24" s="9" t="n">
        <f aca="false">SUMPRODUCT(L$14:L$18,Proyeccion!$F$30:$F$34)</f>
        <v>10679.3690709553</v>
      </c>
      <c r="M24" s="9" t="n">
        <f aca="false">SUMPRODUCT(M$14:M$18,Proyeccion!$F$30:$F$34)</f>
        <v>11099.7585353236</v>
      </c>
      <c r="N24" s="16" t="n">
        <f aca="false">SUM(B24:M24)</f>
        <v>125859.334490909</v>
      </c>
    </row>
    <row r="25" customFormat="false" ht="15" hidden="false" customHeight="false" outlineLevel="0" collapsed="false">
      <c r="A25" s="4" t="s">
        <v>349</v>
      </c>
      <c r="B25" s="9" t="n">
        <f aca="false">B5*Supuestos!$B$57</f>
        <v>1800</v>
      </c>
      <c r="C25" s="9" t="n">
        <f aca="false">C5*Supuestos!$B$57</f>
        <v>1800</v>
      </c>
      <c r="D25" s="9" t="n">
        <f aca="false">D5*Supuestos!$B$57</f>
        <v>1800</v>
      </c>
      <c r="E25" s="9" t="n">
        <f aca="false">E5*Supuestos!$B$57</f>
        <v>1800</v>
      </c>
      <c r="F25" s="9" t="n">
        <f aca="false">F5*Supuestos!$B$57</f>
        <v>1800</v>
      </c>
      <c r="G25" s="9" t="n">
        <f aca="false">G5*Supuestos!$B$57</f>
        <v>1800</v>
      </c>
      <c r="H25" s="9" t="n">
        <f aca="false">H5*Supuestos!$B$57</f>
        <v>1800</v>
      </c>
      <c r="I25" s="9" t="n">
        <f aca="false">I5*Supuestos!$B$57</f>
        <v>1800</v>
      </c>
      <c r="J25" s="9" t="n">
        <f aca="false">J5*Supuestos!$B$57</f>
        <v>1800</v>
      </c>
      <c r="K25" s="9" t="n">
        <f aca="false">K5*Supuestos!$B$57</f>
        <v>1800</v>
      </c>
      <c r="L25" s="9" t="n">
        <f aca="false">L5*Supuestos!$B$57</f>
        <v>1800</v>
      </c>
      <c r="M25" s="9" t="n">
        <f aca="false">M5*Supuestos!$B$57</f>
        <v>1800</v>
      </c>
      <c r="N25" s="16" t="n">
        <f aca="false">SUM(B25:M25)</f>
        <v>21600</v>
      </c>
    </row>
    <row r="26" customFormat="false" ht="15" hidden="false" customHeight="false" outlineLevel="0" collapsed="false">
      <c r="A26" s="4" t="s">
        <v>382</v>
      </c>
      <c r="B26" s="9" t="n">
        <f aca="false">MAX(0,B5-Supuestos!$B$59)*B6*Supuestos!$B$58</f>
        <v>2430</v>
      </c>
      <c r="C26" s="9" t="n">
        <f aca="false">MAX(0,C5-Supuestos!$B$59)*C6*Supuestos!$B$58</f>
        <v>2430</v>
      </c>
      <c r="D26" s="9" t="n">
        <f aca="false">MAX(0,D5-Supuestos!$B$59)*D6*Supuestos!$B$58</f>
        <v>2430</v>
      </c>
      <c r="E26" s="9" t="n">
        <f aca="false">MAX(0,E5-Supuestos!$B$59)*E6*Supuestos!$B$58</f>
        <v>2430</v>
      </c>
      <c r="F26" s="9" t="n">
        <f aca="false">MAX(0,F5-Supuestos!$B$59)*F6*Supuestos!$B$58</f>
        <v>2430</v>
      </c>
      <c r="G26" s="9" t="n">
        <f aca="false">MAX(0,G5-Supuestos!$B$59)*G6*Supuestos!$B$58</f>
        <v>2430</v>
      </c>
      <c r="H26" s="9" t="n">
        <f aca="false">MAX(0,H5-Supuestos!$B$59)*H6*Supuestos!$B$58</f>
        <v>2700</v>
      </c>
      <c r="I26" s="9" t="n">
        <f aca="false">MAX(0,I5-Supuestos!$B$59)*I6*Supuestos!$B$58</f>
        <v>2430</v>
      </c>
      <c r="J26" s="9" t="n">
        <f aca="false">MAX(0,J5-Supuestos!$B$59)*J6*Supuestos!$B$58</f>
        <v>2430</v>
      </c>
      <c r="K26" s="9" t="n">
        <f aca="false">MAX(0,K5-Supuestos!$B$59)*K6*Supuestos!$B$58</f>
        <v>2430</v>
      </c>
      <c r="L26" s="9" t="n">
        <f aca="false">MAX(0,L5-Supuestos!$B$59)*L6*Supuestos!$B$58</f>
        <v>2430</v>
      </c>
      <c r="M26" s="9" t="n">
        <f aca="false">MAX(0,M5-Supuestos!$B$59)*M6*Supuestos!$B$58</f>
        <v>3240</v>
      </c>
      <c r="N26" s="16" t="n">
        <f aca="false">SUM(B26:M26)</f>
        <v>30240</v>
      </c>
    </row>
    <row r="27" customFormat="false" ht="15" hidden="false" customHeight="false" outlineLevel="0" collapsed="false">
      <c r="A27" s="4" t="s">
        <v>383</v>
      </c>
      <c r="B27" s="9" t="n">
        <f aca="false">B8*(Supuestos!$B$60+Supuestos!$B$61*Supuestos!$B$58)</f>
        <v>0</v>
      </c>
      <c r="C27" s="9" t="n">
        <f aca="false">C8*(Supuestos!$B$60+Supuestos!$B$61*Supuestos!$B$58)</f>
        <v>2070</v>
      </c>
      <c r="D27" s="9" t="n">
        <f aca="false">D8*(Supuestos!$B$60+Supuestos!$B$61*Supuestos!$B$58)</f>
        <v>0</v>
      </c>
      <c r="E27" s="9" t="n">
        <f aca="false">E8*(Supuestos!$B$60+Supuestos!$B$61*Supuestos!$B$58)</f>
        <v>2070</v>
      </c>
      <c r="F27" s="9" t="n">
        <f aca="false">F8*(Supuestos!$B$60+Supuestos!$B$61*Supuestos!$B$58)</f>
        <v>0</v>
      </c>
      <c r="G27" s="9" t="n">
        <f aca="false">G8*(Supuestos!$B$60+Supuestos!$B$61*Supuestos!$B$58)</f>
        <v>0</v>
      </c>
      <c r="H27" s="9" t="n">
        <f aca="false">H8*(Supuestos!$B$60+Supuestos!$B$61*Supuestos!$B$58)</f>
        <v>0</v>
      </c>
      <c r="I27" s="9" t="n">
        <f aca="false">I8*(Supuestos!$B$60+Supuestos!$B$61*Supuestos!$B$58)</f>
        <v>0</v>
      </c>
      <c r="J27" s="9" t="n">
        <f aca="false">J8*(Supuestos!$B$60+Supuestos!$B$61*Supuestos!$B$58)</f>
        <v>0</v>
      </c>
      <c r="K27" s="9" t="n">
        <f aca="false">K8*(Supuestos!$B$60+Supuestos!$B$61*Supuestos!$B$58)</f>
        <v>0</v>
      </c>
      <c r="L27" s="9" t="n">
        <f aca="false">L8*(Supuestos!$B$60+Supuestos!$B$61*Supuestos!$B$58)</f>
        <v>0</v>
      </c>
      <c r="M27" s="9" t="n">
        <f aca="false">M8*(Supuestos!$B$60+Supuestos!$B$61*Supuestos!$B$58)</f>
        <v>0</v>
      </c>
      <c r="N27" s="16" t="n">
        <f aca="false">SUM(B27:M27)</f>
        <v>4140</v>
      </c>
    </row>
    <row r="28" customFormat="false" ht="15" hidden="false" customHeight="false" outlineLevel="0" collapsed="false">
      <c r="A28" s="4" t="s">
        <v>384</v>
      </c>
      <c r="B28" s="9" t="n">
        <f aca="false">B9*(Supuestos!$B$58+Supuestos!$B$64)</f>
        <v>320</v>
      </c>
      <c r="C28" s="9" t="n">
        <f aca="false">C9*(Supuestos!$B$58+Supuestos!$B$64)</f>
        <v>320</v>
      </c>
      <c r="D28" s="9" t="n">
        <f aca="false">D9*(Supuestos!$B$58+Supuestos!$B$64)</f>
        <v>640</v>
      </c>
      <c r="E28" s="9" t="n">
        <f aca="false">E9*(Supuestos!$B$58+Supuestos!$B$64)</f>
        <v>640</v>
      </c>
      <c r="F28" s="9" t="n">
        <f aca="false">F9*(Supuestos!$B$58+Supuestos!$B$64)</f>
        <v>640</v>
      </c>
      <c r="G28" s="9" t="n">
        <f aca="false">G9*(Supuestos!$B$58+Supuestos!$B$64)</f>
        <v>640</v>
      </c>
      <c r="H28" s="9" t="n">
        <f aca="false">H9*(Supuestos!$B$58+Supuestos!$B$64)</f>
        <v>480</v>
      </c>
      <c r="I28" s="9" t="n">
        <f aca="false">I9*(Supuestos!$B$58+Supuestos!$B$64)</f>
        <v>640</v>
      </c>
      <c r="J28" s="9" t="n">
        <f aca="false">J9*(Supuestos!$B$58+Supuestos!$B$64)</f>
        <v>640</v>
      </c>
      <c r="K28" s="9" t="n">
        <f aca="false">K9*(Supuestos!$B$58+Supuestos!$B$64)</f>
        <v>640</v>
      </c>
      <c r="L28" s="9" t="n">
        <f aca="false">L9*(Supuestos!$B$58+Supuestos!$B$64)</f>
        <v>640</v>
      </c>
      <c r="M28" s="9" t="n">
        <f aca="false">M9*(Supuestos!$B$58+Supuestos!$B$64)</f>
        <v>320</v>
      </c>
      <c r="N28" s="16" t="n">
        <f aca="false">SUM(B28:M28)</f>
        <v>6560</v>
      </c>
    </row>
    <row r="29" customFormat="false" ht="15" hidden="false" customHeight="false" outlineLevel="0" collapsed="false">
      <c r="A29" s="4" t="s">
        <v>353</v>
      </c>
      <c r="B29" s="9" t="n">
        <f aca="false">Supuestos!$B$75</f>
        <v>2738.38888888889</v>
      </c>
      <c r="C29" s="9" t="n">
        <f aca="false">Supuestos!$B$75</f>
        <v>2738.38888888889</v>
      </c>
      <c r="D29" s="9" t="n">
        <f aca="false">Supuestos!$B$75</f>
        <v>2738.38888888889</v>
      </c>
      <c r="E29" s="9" t="n">
        <f aca="false">Supuestos!$B$75</f>
        <v>2738.38888888889</v>
      </c>
      <c r="F29" s="9" t="n">
        <f aca="false">Supuestos!$B$75</f>
        <v>2738.38888888889</v>
      </c>
      <c r="G29" s="9" t="n">
        <f aca="false">Supuestos!$B$75</f>
        <v>2738.38888888889</v>
      </c>
      <c r="H29" s="9" t="n">
        <f aca="false">Supuestos!$B$75</f>
        <v>2738.38888888889</v>
      </c>
      <c r="I29" s="9" t="n">
        <f aca="false">Supuestos!$B$75</f>
        <v>2738.38888888889</v>
      </c>
      <c r="J29" s="9" t="n">
        <f aca="false">Supuestos!$B$75</f>
        <v>2738.38888888889</v>
      </c>
      <c r="K29" s="9" t="n">
        <f aca="false">Supuestos!$B$75</f>
        <v>2738.38888888889</v>
      </c>
      <c r="L29" s="9" t="n">
        <f aca="false">Supuestos!$B$75</f>
        <v>2738.38888888889</v>
      </c>
      <c r="M29" s="9" t="n">
        <f aca="false">Supuestos!$B$75</f>
        <v>2738.38888888889</v>
      </c>
      <c r="N29" s="16" t="n">
        <f aca="false">SUM(B29:M29)</f>
        <v>32860.6666666667</v>
      </c>
    </row>
    <row r="30" customFormat="false" ht="15" hidden="false" customHeight="false" outlineLevel="0" collapsed="false">
      <c r="A30" s="10" t="s">
        <v>57</v>
      </c>
      <c r="B30" s="11" t="n">
        <f aca="false">B24-SUM(B25:B29)</f>
        <v>790.673403984763</v>
      </c>
      <c r="C30" s="11" t="n">
        <f aca="false">C24-SUM(C25:C29)</f>
        <v>-39.5459606531404</v>
      </c>
      <c r="D30" s="11" t="n">
        <f aca="false">D24-SUM(D25:D29)</f>
        <v>2778.98646731296</v>
      </c>
      <c r="E30" s="11" t="n">
        <f aca="false">E24-SUM(E25:E29)</f>
        <v>2672.01325602637</v>
      </c>
      <c r="F30" s="11" t="n">
        <f aca="false">F24-SUM(F25:F29)</f>
        <v>3316.92367455487</v>
      </c>
      <c r="G30" s="11" t="n">
        <f aca="false">G24-SUM(G25:G29)</f>
        <v>3023.27263584147</v>
      </c>
      <c r="H30" s="11" t="n">
        <f aca="false">H24-SUM(H25:H29)</f>
        <v>2667.95045036381</v>
      </c>
      <c r="I30" s="11" t="n">
        <f aca="false">I24-SUM(I25:I29)</f>
        <v>3081.79125040233</v>
      </c>
      <c r="J30" s="11" t="n">
        <f aca="false">J24-SUM(J25:J29)</f>
        <v>3023.27263584147</v>
      </c>
      <c r="K30" s="11" t="n">
        <f aca="false">K24-SUM(K25:K29)</f>
        <v>3070.98018206643</v>
      </c>
      <c r="L30" s="11" t="n">
        <f aca="false">L24-SUM(L25:L29)</f>
        <v>3070.98018206643</v>
      </c>
      <c r="M30" s="11" t="n">
        <f aca="false">M24-SUM(M25:M29)</f>
        <v>3001.36964643469</v>
      </c>
      <c r="N30" s="11" t="n">
        <f aca="false">SUM(B30:M30)</f>
        <v>30458.6678242424</v>
      </c>
    </row>
    <row r="31" customFormat="false" ht="15" hidden="false" customHeight="false" outlineLevel="0" collapsed="false">
      <c r="A31" s="4" t="s">
        <v>385</v>
      </c>
      <c r="B31" s="16" t="n">
        <f aca="false">Mensual!N38+B30</f>
        <v>14213.7516787472</v>
      </c>
      <c r="C31" s="16" t="n">
        <f aca="false">B31+C30</f>
        <v>14174.2057180941</v>
      </c>
      <c r="D31" s="16" t="n">
        <f aca="false">C31+D30</f>
        <v>16953.1921854071</v>
      </c>
      <c r="E31" s="16" t="n">
        <f aca="false">D31+E30</f>
        <v>19625.2054414334</v>
      </c>
      <c r="F31" s="16" t="n">
        <f aca="false">E31+F30</f>
        <v>22942.1291159883</v>
      </c>
      <c r="G31" s="16" t="n">
        <f aca="false">F31+G30</f>
        <v>25965.4017518298</v>
      </c>
      <c r="H31" s="16" t="n">
        <f aca="false">G31+H30</f>
        <v>28633.3522021936</v>
      </c>
      <c r="I31" s="16" t="n">
        <f aca="false">H31+I30</f>
        <v>31715.1434525959</v>
      </c>
      <c r="J31" s="16" t="n">
        <f aca="false">I31+J30</f>
        <v>34738.4160884374</v>
      </c>
      <c r="K31" s="16" t="n">
        <f aca="false">J31+K30</f>
        <v>37809.3962705038</v>
      </c>
      <c r="L31" s="16" t="n">
        <f aca="false">K31+L30</f>
        <v>40880.3764525702</v>
      </c>
      <c r="M31" s="16" t="n">
        <f aca="false">L31+M30</f>
        <v>43881.7460990049</v>
      </c>
    </row>
    <row r="32" customFormat="false" ht="15" hidden="false" customHeight="false" outlineLevel="0" collapsed="false">
      <c r="A32" s="4" t="s">
        <v>358</v>
      </c>
      <c r="B32" s="9" t="n">
        <f aca="false">IF(13&lt;=Inversion!$B$49,Inversion!$B$50,0)</f>
        <v>897.810953634801</v>
      </c>
      <c r="C32" s="9" t="n">
        <f aca="false">IF(14&lt;=Inversion!$B$49,Inversion!$B$50,0)</f>
        <v>897.810953634801</v>
      </c>
      <c r="D32" s="9" t="n">
        <f aca="false">IF(15&lt;=Inversion!$B$49,Inversion!$B$50,0)</f>
        <v>897.810953634801</v>
      </c>
      <c r="E32" s="9" t="n">
        <f aca="false">IF(16&lt;=Inversion!$B$49,Inversion!$B$50,0)</f>
        <v>897.810953634801</v>
      </c>
      <c r="F32" s="9" t="n">
        <f aca="false">IF(17&lt;=Inversion!$B$49,Inversion!$B$50,0)</f>
        <v>897.810953634801</v>
      </c>
      <c r="G32" s="9" t="n">
        <f aca="false">IF(18&lt;=Inversion!$B$49,Inversion!$B$50,0)</f>
        <v>897.810953634801</v>
      </c>
      <c r="H32" s="9" t="n">
        <f aca="false">IF(19&lt;=Inversion!$B$49,Inversion!$B$50,0)</f>
        <v>897.810953634801</v>
      </c>
      <c r="I32" s="9" t="n">
        <f aca="false">IF(20&lt;=Inversion!$B$49,Inversion!$B$50,0)</f>
        <v>897.810953634801</v>
      </c>
      <c r="J32" s="9" t="n">
        <f aca="false">IF(21&lt;=Inversion!$B$49,Inversion!$B$50,0)</f>
        <v>897.810953634801</v>
      </c>
      <c r="K32" s="9" t="n">
        <f aca="false">IF(22&lt;=Inversion!$B$49,Inversion!$B$50,0)</f>
        <v>897.810953634801</v>
      </c>
      <c r="L32" s="9" t="n">
        <f aca="false">IF(23&lt;=Inversion!$B$49,Inversion!$B$50,0)</f>
        <v>897.810953634801</v>
      </c>
      <c r="M32" s="9" t="n">
        <f aca="false">IF(24&lt;=Inversion!$B$49,Inversion!$B$50,0)</f>
        <v>897.810953634801</v>
      </c>
      <c r="N32" s="16" t="n">
        <f aca="false">SUM(B32:M32)</f>
        <v>10773.7314436176</v>
      </c>
    </row>
    <row r="33" customFormat="false" ht="15" hidden="false" customHeight="false" outlineLevel="0" collapsed="false">
      <c r="A33" s="4" t="s">
        <v>359</v>
      </c>
      <c r="B33" s="9" t="n">
        <f aca="false">Supuestos!$B$74</f>
        <v>134.388888888889</v>
      </c>
      <c r="C33" s="9" t="n">
        <f aca="false">Supuestos!$B$74</f>
        <v>134.388888888889</v>
      </c>
      <c r="D33" s="9" t="n">
        <f aca="false">Supuestos!$B$74</f>
        <v>134.388888888889</v>
      </c>
      <c r="E33" s="9" t="n">
        <f aca="false">Supuestos!$B$74</f>
        <v>134.388888888889</v>
      </c>
      <c r="F33" s="9" t="n">
        <f aca="false">Supuestos!$B$74</f>
        <v>134.388888888889</v>
      </c>
      <c r="G33" s="9" t="n">
        <f aca="false">Supuestos!$B$74</f>
        <v>134.388888888889</v>
      </c>
      <c r="H33" s="9" t="n">
        <f aca="false">Supuestos!$B$74</f>
        <v>134.388888888889</v>
      </c>
      <c r="I33" s="9" t="n">
        <f aca="false">Supuestos!$B$74</f>
        <v>134.388888888889</v>
      </c>
      <c r="J33" s="9" t="n">
        <f aca="false">Supuestos!$B$74</f>
        <v>134.388888888889</v>
      </c>
      <c r="K33" s="9" t="n">
        <f aca="false">Supuestos!$B$74</f>
        <v>134.388888888889</v>
      </c>
      <c r="L33" s="9" t="n">
        <f aca="false">Supuestos!$B$74</f>
        <v>134.388888888889</v>
      </c>
      <c r="M33" s="9" t="n">
        <f aca="false">Supuestos!$B$74</f>
        <v>134.388888888889</v>
      </c>
      <c r="N33" s="16" t="n">
        <f aca="false">SUM(B33:M33)</f>
        <v>1612.66666666667</v>
      </c>
    </row>
    <row r="34" customFormat="false" ht="15" hidden="false" customHeight="false" outlineLevel="0" collapsed="false">
      <c r="A34" s="10" t="s">
        <v>386</v>
      </c>
      <c r="B34" s="11" t="n">
        <f aca="false">Mensual!M44+B30+B33-B32</f>
        <v>12413.5838370504</v>
      </c>
      <c r="C34" s="11" t="n">
        <f aca="false">B34+C30+C33-C32</f>
        <v>11610.6158116513</v>
      </c>
      <c r="D34" s="11" t="n">
        <f aca="false">C34+D30+D33-D32</f>
        <v>13626.1802142184</v>
      </c>
      <c r="E34" s="11" t="n">
        <f aca="false">D34+E30+E33-E32</f>
        <v>15534.7714054988</v>
      </c>
      <c r="F34" s="11" t="n">
        <f aca="false">E34+F30+F33-F32</f>
        <v>18088.2730153078</v>
      </c>
      <c r="G34" s="11" t="n">
        <f aca="false">F34+G30+G33-G32</f>
        <v>20348.1235864033</v>
      </c>
      <c r="H34" s="11" t="n">
        <f aca="false">G34+H30+H33-H32</f>
        <v>22252.6519720212</v>
      </c>
      <c r="I34" s="11" t="n">
        <f aca="false">H34+I30+I33-I32</f>
        <v>24571.0211576777</v>
      </c>
      <c r="J34" s="11" t="n">
        <f aca="false">I34+J30+J33-J32</f>
        <v>26830.8717287732</v>
      </c>
      <c r="K34" s="11" t="n">
        <f aca="false">J34+K30+K33-K32</f>
        <v>29138.4298460937</v>
      </c>
      <c r="L34" s="11" t="n">
        <f aca="false">K34+L30+L33-L32</f>
        <v>31445.9879634142</v>
      </c>
      <c r="M34" s="11" t="n">
        <f aca="false">L34+M30+M33-M32</f>
        <v>33683.935545103</v>
      </c>
    </row>
    <row r="36" customFormat="false" ht="15" hidden="false" customHeight="false" outlineLevel="0" collapsed="false">
      <c r="A36" s="10" t="s">
        <v>387</v>
      </c>
    </row>
    <row r="37" customFormat="false" ht="15" hidden="false" customHeight="false" outlineLevel="0" collapsed="false">
      <c r="A37" s="4" t="s">
        <v>57</v>
      </c>
      <c r="B37" s="16" t="n">
        <f aca="false">N30</f>
        <v>30458.6678242424</v>
      </c>
    </row>
    <row r="38" customFormat="false" ht="15" hidden="false" customHeight="false" outlineLevel="0" collapsed="false">
      <c r="A38" s="4" t="s">
        <v>58</v>
      </c>
      <c r="B38" s="9" t="n">
        <f aca="false">Supuestos!B28*N23</f>
        <v>2731.6</v>
      </c>
    </row>
    <row r="39" customFormat="false" ht="15" hidden="false" customHeight="false" outlineLevel="0" collapsed="false">
      <c r="A39" s="4" t="s">
        <v>388</v>
      </c>
      <c r="B39" s="9" t="n">
        <f aca="false">-CUMIPMT((1+Inversion!B48)^(1/12)-1,Inversion!B49,Inversion!B47,13,24,0)</f>
        <v>1582.24208191548</v>
      </c>
    </row>
    <row r="40" customFormat="false" ht="15" hidden="false" customHeight="false" outlineLevel="0" collapsed="false">
      <c r="A40" s="4" t="s">
        <v>60</v>
      </c>
      <c r="B40" s="16" t="n">
        <f aca="false">B37+B38-B39</f>
        <v>31608.025742327</v>
      </c>
    </row>
    <row r="41" customFormat="false" ht="15" hidden="false" customHeight="false" outlineLevel="0" collapsed="false">
      <c r="A41" s="4" t="s">
        <v>61</v>
      </c>
      <c r="B41" s="16" t="n">
        <f aca="false">MAX(0,0.1*B40)</f>
        <v>3160.8025742327</v>
      </c>
    </row>
    <row r="42" customFormat="false" ht="15" hidden="false" customHeight="false" outlineLevel="0" collapsed="false">
      <c r="A42" s="10" t="s">
        <v>66</v>
      </c>
      <c r="B42" s="11" t="n">
        <f aca="false">B40-B41</f>
        <v>28447.2231680943</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2026-10-10T18:41:20Z</dcterms:created>
  <dc:creator>openpyxl</dc:creator>
  <dc:description/>
  <dc:language>en-US</dc:language>
  <cp:lastModifiedBy/>
  <dcterms:modified xsi:type="dcterms:W3CDTF">2026-10-10T18:41:20Z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