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Resumen" sheetId="2" state="visible" r:id="rId4"/>
    <sheet name="Supuestos" sheetId="3" state="visible" r:id="rId5"/>
    <sheet name="Costeo" sheetId="4" state="visible" r:id="rId6"/>
    <sheet name="Proyeccion" sheetId="5" state="visible" r:id="rId7"/>
    <sheet name="Inversion" sheetId="6" state="visible" r:id="rId8"/>
    <sheet name="Mensual"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<sst xmlns="http://schemas.openxmlformats.org/spreadsheetml/2006/main" count="486" uniqueCount="334">
  <si>
    <t xml:space="preserve">Cómo usar este archivo</t>
  </si>
  <si>
    <t xml:space="preserve">Qué es: el costeo de AndiBite con tres presentaciones (unidad individual, pack de 6 y pack de 12) y dos formas de armar el pack de 6 (opción B con bolsitas y opción C con brownies sueltos). La planta de maquila hornea y empaca; no hay planta propia.</t>
  </si>
  <si>
    <t xml:space="preserve">Colores:</t>
  </si>
  <si>
    <t xml:space="preserve">  Texto azul = dato que pueden cambiar (precios, costos, mezcla, unidades por mes).</t>
  </si>
  <si>
    <t xml:space="preserve">  Fondo amarillo = supuesto clave que todavía no está cotizado o validado.</t>
  </si>
  <si>
    <t xml:space="preserve">  Texto negro = fórmula. Texto verde = fórmula que trae un dato de otra hoja.</t>
  </si>
  <si>
    <t xml:space="preserve">Hojas:</t>
  </si>
  <si>
    <t xml:space="preserve">  Resumen: costo por presentación, resultado del año y punto de equilibrio con las opciones B y C.</t>
  </si>
  <si>
    <t xml:space="preserve">  Supuestos: todos los datos de entrada con su fuente.</t>
  </si>
  <si>
    <t xml:space="preserve">  Inversion: la inversión inicial, con todos los documentos y permisos para vender, y su financiamiento.</t>
  </si>
  <si>
    <t xml:space="preserve">  Costeo: costo de producción de cada presentación, línea por línea.</t>
  </si>
  <si>
    <t xml:space="preserve">  Proyeccion: el año 1 desglosado por canal y presentación.</t>
  </si>
  <si>
    <t xml:space="preserve">  Mensual: actividad comercial de cada mes (stands, ferias, colegios y naturistas), unidades por canal, producción a pedir a la planta y resultado mensual.</t>
  </si>
  <si>
    <t xml:space="preserve">Cómo se proyecta cuando un producto tiene varias presentaciones (método de mezcla de ventas):</t>
  </si>
  <si>
    <t xml:space="preserve">  1. Se proyectan las unidades de brownie por canal (cuántos brownies se comen, no cuántas bolsas). En el stand: puntos × días × brownies por día; en ferias: ferias × brownies por feria; WhatsApp: lo que vuelve a comprarse de lo vendido en físico.</t>
  </si>
  <si>
    <t xml:space="preserve">  2. En cada canal se define la mezcla: qué % de esas unidades sale como unidad suelta, pack de 6 o pack de 12. Cada canal compra distinto: en el stand 6 de cada 10 se venden sueltos para probar; por WhatsApp se compran packs.</t>
  </si>
  <si>
    <t xml:space="preserve">  3. Unidades × mezcla ÷ tamaño del envase = envases vendidos de cada presentación.</t>
  </si>
  <si>
    <t xml:space="preserve">  4. Envases × precio de esa presentación en ese canal = ingreso. Envases × costo de esa presentación = costo de producción.</t>
  </si>
  <si>
    <t xml:space="preserve">  5. Se resta el costo variable del canal (delivery, pasarela, degustación) y se suman las contribuciones. A esa suma se le restan el alquiler de los stands, las impulsadoras, las ferias pagadas y los costos fijos: eso es el resultado.</t>
  </si>
  <si>
    <t xml:space="preserve">  La ventaja: si cambia la mezcla (por ejemplo, más packs de 12), el ingreso y el margen se recalculan solos sin rehacer la proyección.</t>
  </si>
  <si>
    <t xml:space="preserve">Ejemplos para probar: en Mensual, cambie los brownies por día en cada punto (fila 7); en Supuestos, cambie el alquiler por punto (B57) o la maquila (B7) y mire el resultado en Resumen.</t>
  </si>
  <si>
    <t xml:space="preserve">AndiBite — Resumen del año 1 (enero a diciembre de 2027), escenario base con venta física</t>
  </si>
  <si>
    <t xml:space="preserve">Todo se calcula desde las hojas Supuestos, Inversion, Costeo, Proyeccion y Mensual. Cambie las celdas azules de Supuestos o Mensual.</t>
  </si>
  <si>
    <t xml:space="preserve">Presentación</t>
  </si>
  <si>
    <t xml:space="preserve">Costo de producción por envase</t>
  </si>
  <si>
    <t xml:space="preserve">Costo por unidad</t>
  </si>
  <si>
    <t xml:space="preserve">Precio en stand (con IGV)</t>
  </si>
  <si>
    <t xml:space="preserve">Margen bruto % en stand</t>
  </si>
  <si>
    <t xml:space="preserve">Precio por WhatsApp (con IGV)</t>
  </si>
  <si>
    <t xml:space="preserve">Margen bruto % por WhatsApp</t>
  </si>
  <si>
    <t xml:space="preserve">Unidad individual</t>
  </si>
  <si>
    <t xml:space="preserve">Pack de 6 — opción B (con bolsitas)</t>
  </si>
  <si>
    <t xml:space="preserve">Pack de 6 — opción C (sueltos)</t>
  </si>
  <si>
    <t xml:space="preserve">Pack de 12</t>
  </si>
  <si>
    <t xml:space="preserve">Año 1</t>
  </si>
  <si>
    <t xml:space="preserve">Opción B (bolsitas)</t>
  </si>
  <si>
    <t xml:space="preserve">Opción C (sueltos)</t>
  </si>
  <si>
    <t xml:space="preserve">Unidades vendidas</t>
  </si>
  <si>
    <t xml:space="preserve">Ventas con IGV</t>
  </si>
  <si>
    <t xml:space="preserve">Ventas sin IGV</t>
  </si>
  <si>
    <t xml:space="preserve">Contribución (ventas sin IGV menos producción y costos variables de canal)</t>
  </si>
  <si>
    <t xml:space="preserve">Stands, carritos y ferias del año (espacio, vendedores de stand y ferias pagadas)</t>
  </si>
  <si>
    <t xml:space="preserve">Costos fijos del año</t>
  </si>
  <si>
    <t xml:space="preserve">Resultado operativo del año (antes de intereses y renta anual)</t>
  </si>
  <si>
    <t xml:space="preserve">Margen operativo sobre ventas sin IGV</t>
  </si>
  <si>
    <t xml:space="preserve">Contribución por unidad después de stands y ferias</t>
  </si>
  <si>
    <t xml:space="preserve">Punto de equilibrio (unidades al mes)</t>
  </si>
  <si>
    <t xml:space="preserve">Punto de equilibrio en packs de 6 equivalentes al mes</t>
  </si>
  <si>
    <t xml:space="preserve">Inversión inicial (incluye todos los documentos y permisos)</t>
  </si>
  <si>
    <t xml:space="preserve">Resultado del año 1 menos la inversión (negativo = falta recuperar)</t>
  </si>
  <si>
    <t xml:space="preserve">Caja más baja del año, con la cuota del préstamo (opción B)</t>
  </si>
  <si>
    <t xml:space="preserve">Meses desde el inicio de ventas (mes 1 = enero de 2027) para recuperar la inversión (el año 2 al ritmo de los meses 10 a 12)</t>
  </si>
  <si>
    <t xml:space="preserve">De resultado operativo a utilidad neta (año 1, opción B)</t>
  </si>
  <si>
    <t xml:space="preserve">Resultado operativo</t>
  </si>
  <si>
    <t xml:space="preserve">Más: pagos a cuenta de renta ya restados en el costo de canal (1 % de las ventas sin IGV)</t>
  </si>
  <si>
    <t xml:space="preserve">Menos: intereses del préstamo en el año 1</t>
  </si>
  <si>
    <t xml:space="preserve">Utilidad antes de impuestos</t>
  </si>
  <si>
    <t xml:space="preserve">Impuesto a la renta del Régimen MYPE Tributario (10 % hasta 15 UIT de utilidad)</t>
  </si>
  <si>
    <t xml:space="preserve">Utilidad neta del año 1</t>
  </si>
  <si>
    <t xml:space="preserve">Notas</t>
  </si>
  <si>
    <t xml:space="preserve">1. La proyección supone que los documentos (S.A.C., marca, registro sanitario, análisis, etiqueta, carnés y póliza) ya están listos al inicio de ventas (mes 1, enero de 2027). Su costo está en la hoja Inversion.</t>
  </si>
  <si>
    <t xml:space="preserve">2. La venta física (stands, carritos y ferias) es el canal principal; WhatsApp queda para la recompra, sin suscripción. Todos los puntos de venta llevan vendedor(a) pagado(a) y un(a) coordinador(a) en planilla atiende pedidos y despacho.</t>
  </si>
  <si>
    <t xml:space="preserve">3. Costo de producción con sangrecita fresca de pollo (S/0.40 de insumos por brownie) y maquila de S/0.45 por brownie.</t>
  </si>
  <si>
    <t xml:space="preserve">4. El resultado operativo ya incluye al personal que opera el negocio (vendedores de stand y coordinador en planilla). La utilidad neta descuenta además los intereses del préstamo y el impuesto a la renta (filas 29 a 34).</t>
  </si>
  <si>
    <t xml:space="preserve">Supuestos del costeo — AndiBite (maquila, escenario de 3,000 unidades al mes)</t>
  </si>
  <si>
    <t xml:space="preserve">Celdas azules = datos que pueden cambiar. Amarillo = supuestos clave sin cotizar. Montos en soles. Fuente general: 04-reformulacion/05-plan-comercial-y-financiero.md, sección 4.</t>
  </si>
  <si>
    <t xml:space="preserve">1. Costos de producción por unidad de 20 g (sin IGV)</t>
  </si>
  <si>
    <t xml:space="preserve">Concepto</t>
  </si>
  <si>
    <t xml:space="preserve">Valor</t>
  </si>
  <si>
    <t xml:space="preserve">Unidad</t>
  </si>
  <si>
    <t xml:space="preserve">Fuente o nota</t>
  </si>
  <si>
    <t xml:space="preserve">Insumos por unidad (promedio de los 3 sabores, con sangrecita fresca de pollo cocida en la planta)</t>
  </si>
  <si>
    <t xml:space="preserve">S/ por unidad</t>
  </si>
  <si>
    <t xml:space="preserve">Recetas del documento 01: 175 g de sangrecita cruda por lote de 24 (Redondos, S/11.29 por kg en Makro), que la planta cuece y licúa con los huevos; resto de insumos según documento 05 (Makro, mayoristas, Plaza Vea y Wong, sin IGV)</t>
  </si>
  <si>
    <t xml:space="preserve">Maquila por unidad (la planta cuece la sangrecita, mezcla, hornea, corta, pesa y sella la bolsita)</t>
  </si>
  <si>
    <t xml:space="preserve">Tarifa de maquila de snacks horneados en Lima: S/20.75 por kg de producto terminado, elaboración y empaque incluidos (Organic Andean Bites, documento 03), actualizada a 2027: S/0.45 por brownie de 20 g</t>
  </si>
  <si>
    <t xml:space="preserve">Descuento de maquila si no se empaca cada unidad (opción C)</t>
  </si>
  <si>
    <t xml:space="preserve">[HIPÓTESIS] Dejar en 0 hasta que la planta lo confirme</t>
  </si>
  <si>
    <t xml:space="preserve">Bolsita individual (flow pack sin imprimir)</t>
  </si>
  <si>
    <t xml:space="preserve">Documento 05, tabla 4.2</t>
  </si>
  <si>
    <t xml:space="preserve">Etiqueta individual con rotulado completo (solo unidad que se vende suelta)</t>
  </si>
  <si>
    <t xml:space="preserve">Imprenta Peruana, 1,000 unidades sin IGV (documento 02)</t>
  </si>
  <si>
    <t xml:space="preserve">Papel manteca separador entre brownies (opción C)</t>
  </si>
  <si>
    <t xml:space="preserve">[HIPÓTESIS] Rollo de supermercado prorrateado</t>
  </si>
  <si>
    <t xml:space="preserve">Control de calidad por lote, prorrateado por unidad</t>
  </si>
  <si>
    <t xml:space="preserve">S/250 por análisis microbiológico al mes / 3,000 unidades (documento 05)</t>
  </si>
  <si>
    <t xml:space="preserve">Transporte planta-almacén por unidad</t>
  </si>
  <si>
    <t xml:space="preserve">2 viajes de S/80 al mes / 3,000 unidades (documento 05)</t>
  </si>
  <si>
    <t xml:space="preserve">Almacenamiento por unidad</t>
  </si>
  <si>
    <t xml:space="preserve">Pactado con la planta u operador logístico (documento 05)</t>
  </si>
  <si>
    <t xml:space="preserve">Merma (sobre insumos, maquila y empaque)</t>
  </si>
  <si>
    <t xml:space="preserve">%</t>
  </si>
  <si>
    <t xml:space="preserve">[HIPÓTESIS] Documento 05</t>
  </si>
  <si>
    <t xml:space="preserve">2. Empaque del pack (por envase, sin IGV)</t>
  </si>
  <si>
    <t xml:space="preserve">Doypack kraft para 6 unidades</t>
  </si>
  <si>
    <t xml:space="preserve">S/ por envase</t>
  </si>
  <si>
    <t xml:space="preserve">S/0.625 con IGV por 1,000 unidades (documento 02)</t>
  </si>
  <si>
    <t xml:space="preserve">Etiquetas del doypack de 6 (frente y reverso)</t>
  </si>
  <si>
    <t xml:space="preserve">2 x S/0.36, 1,000 unidades (documento 02)</t>
  </si>
  <si>
    <t xml:space="preserve">Doypack kraft para 12 unidades</t>
  </si>
  <si>
    <t xml:space="preserve">[HIPÓTESIS] Talla mayor; cotizar</t>
  </si>
  <si>
    <t xml:space="preserve">Etiquetas del doypack de 12 (frente y reverso)</t>
  </si>
  <si>
    <t xml:space="preserve">Mismo sticker que el pack de 6</t>
  </si>
  <si>
    <t xml:space="preserve">3. Impuestos y comisiones</t>
  </si>
  <si>
    <t xml:space="preserve">IGV</t>
  </si>
  <si>
    <t xml:space="preserve">SUNAT</t>
  </si>
  <si>
    <t xml:space="preserve">Pasarela de pagos (Yape, Plin, tarjeta) sobre el precio con IGV</t>
  </si>
  <si>
    <t xml:space="preserve">Mezcla Culqi 3.44-3.99 % con 15 % de transferencias sin costo (documento 05)</t>
  </si>
  <si>
    <t xml:space="preserve">Renta RMT, pago a cuenta mensual sobre la venta sin IGV</t>
  </si>
  <si>
    <t xml:space="preserve">Régimen MYPE Tributario (documento 05)</t>
  </si>
  <si>
    <t xml:space="preserve">4. Costo variable de canal por unidad (sin IGV; el alquiler, el personal y las ferias van en la sección 7)</t>
  </si>
  <si>
    <t xml:space="preserve">Canal</t>
  </si>
  <si>
    <t xml:space="preserve">Logística por unidad (S/)</t>
  </si>
  <si>
    <t xml:space="preserve">¿Paga pasarela? (1 = sí, 0 = no)</t>
  </si>
  <si>
    <t xml:space="preserve">Nota</t>
  </si>
  <si>
    <t xml:space="preserve">Stands y carritos (malls y supermercados)</t>
  </si>
  <si>
    <t xml:space="preserve">Degustación: 1 brownie regalado por cada 10 vendidos (S/0.17) + movilidad y bolsas (S/0.10) [HIPÓTESIS]</t>
  </si>
  <si>
    <t xml:space="preserve">Ferias y eventos</t>
  </si>
  <si>
    <t xml:space="preserve">Igual que el stand; el costo de la feria va aparte (sección 7)</t>
  </si>
  <si>
    <t xml:space="preserve">Recompra por WhatsApp e Instagram (delivery)</t>
  </si>
  <si>
    <t xml:space="preserve">Delivery: S/9.50 por pedido de unas 10 unidades; gratis desde 2 packs (documento 05)</t>
  </si>
  <si>
    <t xml:space="preserve">Colegios (quiosco)</t>
  </si>
  <si>
    <t xml:space="preserve">[HIPÓTESIS] Ruta semanal al colegio; cobro por factura</t>
  </si>
  <si>
    <t xml:space="preserve">Tiendas naturistas</t>
  </si>
  <si>
    <t xml:space="preserve">[HIPÓTESIS] Reposición quincenal; cobro por factura</t>
  </si>
  <si>
    <t xml:space="preserve">5. Precio que cobra AndiBite por presentación y canal (S/ con IGV, confirmados el 9-oct-2026)</t>
  </si>
  <si>
    <t xml:space="preserve">Pack de 6</t>
  </si>
  <si>
    <t xml:space="preserve">Precio de lista en físico. La unidad suelta (S/5.50) es la compra de prueba y deja más margen; el pack de 6 (S/4.33 por brownie) queda como la compra conveniente</t>
  </si>
  <si>
    <t xml:space="preserve">Mismo precio que en el stand</t>
  </si>
  <si>
    <t xml:space="preserve">S/4.15 por brownie en el pack de 6, a la par de Fika (S/4.00) y Mamalama (S/4.10) por 20 g. Unidad = caja degustación de 3 (S/12.00)</t>
  </si>
  <si>
    <t xml:space="preserve">El alumno paga S/4.00; el concesionario se queda 25 %</t>
  </si>
  <si>
    <t xml:space="preserve">AndiBite cobra S/17.34 a la tienda; con 40 % para la tienda, el anaquel queda en S/28.90</t>
  </si>
  <si>
    <t xml:space="preserve">6. Mezcla de presentaciones por canal (% de las unidades que vende cada canal)</t>
  </si>
  <si>
    <t xml:space="preserve">Suma (debe ser 100 %)</t>
  </si>
  <si>
    <t xml:space="preserve">Stand: 6 de cada 10 brownies se venden sueltos para probar en el momento. WhatsApp: 60/30/10 del documento 05. Resto: [HIPÓTESIS] según cómo compra cada canal.</t>
  </si>
  <si>
    <t xml:space="preserve">7. Stands, carritos y ferias</t>
  </si>
  <si>
    <t xml:space="preserve">Espacio para el carrito o stand de fin de semana en mall o supermercado, por punto al mes</t>
  </si>
  <si>
    <t xml:space="preserve">S/ al mes</t>
  </si>
  <si>
    <t xml:space="preserve">Módulo de 2 x 2 m en malls desde S/500 al mes (Gestión, 15-sep-2023); la entrada de un supermercado de Lima Top cuesta algo más (documento 08)</t>
  </si>
  <si>
    <t xml:space="preserve">Pago a vendedor(a) de stand por día</t>
  </si>
  <si>
    <t xml:space="preserve">S/ por día</t>
  </si>
  <si>
    <t xml:space="preserve">Pago de impulsadoras en Lima: S/50 a 90 por día de fin de semana (Computrabajo, documento 08)</t>
  </si>
  <si>
    <t xml:space="preserve">Puntos de venta que atienden los socios sin pago</t>
  </si>
  <si>
    <t xml:space="preserve">puntos</t>
  </si>
  <si>
    <t xml:space="preserve">Todos los puntos de venta llevan un(a) vendedor(a) pagado(a); los socios supervisan</t>
  </si>
  <si>
    <t xml:space="preserve">Stand en feria de emprendimiento (2 a 3 días)</t>
  </si>
  <si>
    <t xml:space="preserve">S/ por feria</t>
  </si>
  <si>
    <t xml:space="preserve">Ferias de emprendimiento de Lima: La Feria de Barranco S/1,650 a 2,000; Bazar Navideño CCL S/2,500 + IGV; Navi Fest (documento 08)</t>
  </si>
  <si>
    <t xml:space="preserve">Brownies vendidos por feria pagada</t>
  </si>
  <si>
    <t xml:space="preserve">unidades</t>
  </si>
  <si>
    <t xml:space="preserve">[HIPÓTESIS] Una mype vende unos S/3,000 por feria de PRODUCE (unos 625 brownies)</t>
  </si>
  <si>
    <t xml:space="preserve">Brownies por evento sin costo (kermés, cumpleaños, feria gratuita)</t>
  </si>
  <si>
    <t xml:space="preserve">[HIPÓTESIS]</t>
  </si>
  <si>
    <t xml:space="preserve">Lo vendido en físico que vuelve a comprarse por WhatsApp el mes siguiente</t>
  </si>
  <si>
    <t xml:space="preserve">% de las unidades</t>
  </si>
  <si>
    <t xml:space="preserve">[HIPÓTESIS] Recompra con recordatorio por WhatsApp; sin suscripción</t>
  </si>
  <si>
    <t xml:space="preserve">Pedidos por WhatsApp del primer mes (lista de espera)</t>
  </si>
  <si>
    <t xml:space="preserve">8. Costos fijos mensuales (S/ sin IGV)</t>
  </si>
  <si>
    <t xml:space="preserve">Administración: contador, software de facturación, web, teléfono, movilidad, GS1, banco, carnés de sanidad y uniformes del personal de stand</t>
  </si>
  <si>
    <t xml:space="preserve">Documento 05, sección 4.1 (S/700) más S/60 al mes de carnés de sanidad (S/9 a 20 por persona cada 6 meses), uniformes y reposición del material de stand</t>
  </si>
  <si>
    <t xml:space="preserve">Coordinador(a) comercial y de operaciones (planilla, medio tiempo de 4 horas)</t>
  </si>
  <si>
    <t xml:space="preserve">Media remuneración mínima de 2027 (S/1,300 según el DS 015-2026-TR) más 9 % de EsSalud; microempresa en el REMYPE. Atiende WhatsApp, pedidos y despacho, y lleva el stock a los stands</t>
  </si>
  <si>
    <t xml:space="preserve">Marketing: pauta, degustaciones y material de stand (promedio del año)</t>
  </si>
  <si>
    <t xml:space="preserve">[HIPÓTESIS] Menos pauta digital que en la versión anterior (S/1,291.67): la captación se hace en el stand</t>
  </si>
  <si>
    <t xml:space="preserve">Depreciación de equipos y carrito (36 meses)</t>
  </si>
  <si>
    <t xml:space="preserve">Hoja Inversion</t>
  </si>
  <si>
    <t xml:space="preserve">Total costos fijos al mes</t>
  </si>
  <si>
    <t xml:space="preserve">9. Mezcla de sabores (para planear compras y producción)</t>
  </si>
  <si>
    <t xml:space="preserve">Sabor</t>
  </si>
  <si>
    <t xml:space="preserve">Chispa (choco clásico con chispas)</t>
  </si>
  <si>
    <t xml:space="preserve">[HIPÓTESIS] Ajustar con el focus 2</t>
  </si>
  <si>
    <t xml:space="preserve">Andi (choco, plátano, canela y cañihua)</t>
  </si>
  <si>
    <t xml:space="preserve">Lúcu (choco y lúcuma)</t>
  </si>
  <si>
    <t xml:space="preserve">Suma</t>
  </si>
  <si>
    <t xml:space="preserve">Costo de producción por presentación (sin IGV)</t>
  </si>
  <si>
    <t xml:space="preserve">Opción B: cada brownie en bolsita sin etiqueta, dentro del doypack con etiqueta. Opción C: brownies sueltos con papel manteca dentro del doypack. Unidad individual: bolsita con etiqueta completa.</t>
  </si>
  <si>
    <t xml:space="preserve">Pack de 12 (con bolsitas)</t>
  </si>
  <si>
    <t xml:space="preserve">Unidades por presentación</t>
  </si>
  <si>
    <t xml:space="preserve">Insumos</t>
  </si>
  <si>
    <t xml:space="preserve">Maquila</t>
  </si>
  <si>
    <t xml:space="preserve">Bolsita individual (flow pack)</t>
  </si>
  <si>
    <t xml:space="preserve">Etiqueta individual</t>
  </si>
  <si>
    <t xml:space="preserve">Papel manteca separador</t>
  </si>
  <si>
    <t xml:space="preserve">Doypack</t>
  </si>
  <si>
    <t xml:space="preserve">Etiquetas del doypack</t>
  </si>
  <si>
    <t xml:space="preserve">Merma</t>
  </si>
  <si>
    <t xml:space="preserve">Control de calidad, transporte y almacén</t>
  </si>
  <si>
    <t xml:space="preserve">Costo de producción por presentación</t>
  </si>
  <si>
    <t xml:space="preserve">Costo de producción por unidad</t>
  </si>
  <si>
    <t xml:space="preserve">Venta en stand o carrito (precio de lista en físico)</t>
  </si>
  <si>
    <t xml:space="preserve">Precio con IGV</t>
  </si>
  <si>
    <t xml:space="preserve">Precio sin IGV</t>
  </si>
  <si>
    <t xml:space="preserve">Margen bruto por presentación (precio sin IGV menos costo de producción)</t>
  </si>
  <si>
    <t xml:space="preserve">Margen bruto %</t>
  </si>
  <si>
    <t xml:space="preserve">Recompra por WhatsApp e Instagram</t>
  </si>
  <si>
    <t xml:space="preserve">El margen bruto no incluye alquiler del stand, personal, delivery, pasarela, comisiones ni costos fijos: eso se calcula en las hojas Proyeccion y Mensual.</t>
  </si>
  <si>
    <t xml:space="preserve">Proyección anual por canal y presentación (año 1: enero a diciembre de 2027)</t>
  </si>
  <si>
    <t xml:space="preserve">Paso a paso: unidades del canal (hoja Mensual) × mezcla de presentaciones (Supuestos) = unidades por presentación; ÷ tamaño = envases vendidos; × precio = ingreso; menos costo de producción y costo variable de canal = contribución.</t>
  </si>
  <si>
    <t xml:space="preserve">Unidades por envase</t>
  </si>
  <si>
    <t xml:space="preserve">Unidades del canal en el año</t>
  </si>
  <si>
    <t xml:space="preserve">% de la mezcla</t>
  </si>
  <si>
    <t xml:space="preserve">Envases vendidos</t>
  </si>
  <si>
    <t xml:space="preserve">Precio cobrado con IGV por envase</t>
  </si>
  <si>
    <t xml:space="preserve">Ingreso con IGV</t>
  </si>
  <si>
    <t xml:space="preserve">Ingreso sin IGV</t>
  </si>
  <si>
    <t xml:space="preserve">Costo de producción por envase — opción B</t>
  </si>
  <si>
    <t xml:space="preserve">Costo de producción por envase — opción C</t>
  </si>
  <si>
    <t xml:space="preserve">Costo variable de canal por envase</t>
  </si>
  <si>
    <t xml:space="preserve">Contribución por envase — opción B</t>
  </si>
  <si>
    <t xml:space="preserve">Contribución por envase — opción C</t>
  </si>
  <si>
    <t xml:space="preserve">Contribución total — opción B</t>
  </si>
  <si>
    <t xml:space="preserve">Contribución total — opción C</t>
  </si>
  <si>
    <t xml:space="preserve">Margen de contribución % — B</t>
  </si>
  <si>
    <t xml:space="preserve">Margen de contribución % — C</t>
  </si>
  <si>
    <t xml:space="preserve">Total</t>
  </si>
  <si>
    <t xml:space="preserve">2. Contribución por canal (la usa la hoja Mensual)</t>
  </si>
  <si>
    <t xml:space="preserve">Unidades</t>
  </si>
  <si>
    <t xml:space="preserve">Contribución — opción B</t>
  </si>
  <si>
    <t xml:space="preserve">Contribución — opción C</t>
  </si>
  <si>
    <t xml:space="preserve">Contribución por unidad — B</t>
  </si>
  <si>
    <t xml:space="preserve">Contribución por unidad — C</t>
  </si>
  <si>
    <t xml:space="preserve">Ingreso con IGV por unidad</t>
  </si>
  <si>
    <t xml:space="preserve">3. Resumen por presentación</t>
  </si>
  <si>
    <t xml:space="preserve">4. Unidades por sabor en el año (para compras de insumos)</t>
  </si>
  <si>
    <t xml:space="preserve">Unidades en el año</t>
  </si>
  <si>
    <t xml:space="preserve">Inversión inicial: todo lo necesario para vender desde el primer día</t>
  </si>
  <si>
    <t xml:space="preserve">Los documentos y permisos se pagan aquí, una sola vez. La proyección (hoja Mensual) supone que ya están listos al empezar las ventas en enero de 2027 (mes 1).</t>
  </si>
  <si>
    <t xml:space="preserve">S/ (sin IGV)</t>
  </si>
  <si>
    <t xml:space="preserve">1. Documentos y permisos para vender</t>
  </si>
  <si>
    <t xml:space="preserve">Constitución de AndiBite S.A.C. en un CDE de PRODUCE (notaría)</t>
  </si>
  <si>
    <t xml:space="preserve">Documento 05</t>
  </si>
  <si>
    <t xml:space="preserve">RUC, Régimen MYPE Tributario, REMYPE y libro de reclamaciones virtual</t>
  </si>
  <si>
    <t xml:space="preserve">SUNAT, PRODUCE e INDECOPI: sin costo</t>
  </si>
  <si>
    <t xml:space="preserve">Registro de marca en INDECOPI, clase 30 (tasa MYPE)</t>
  </si>
  <si>
    <t xml:space="preserve">Documento 03</t>
  </si>
  <si>
    <t xml:space="preserve">Revisión legal del contrato de maquila (la S.A.C. es titular del registro sanitario)</t>
  </si>
  <si>
    <t xml:space="preserve">Análisis para el registro sanitario (3 sabores × S/600)</t>
  </si>
  <si>
    <t xml:space="preserve">Perfil nutricional y hierro (3 × S/375)</t>
  </si>
  <si>
    <t xml:space="preserve">Estudio de vida útil acelerado</t>
  </si>
  <si>
    <t xml:space="preserve">Diseño y validación de la etiqueta (rotulado y Ley 30021)</t>
  </si>
  <si>
    <t xml:space="preserve">Registro sanitario DIGESA (tasa)</t>
  </si>
  <si>
    <t xml:space="preserve">TUPA 2026: sin costo (Comunicado 05-2026-DIGESA)</t>
  </si>
  <si>
    <t xml:space="preserve">Carnés de sanidad (5 socios)</t>
  </si>
  <si>
    <t xml:space="preserve">Andina: S/9 a 20 por persona</t>
  </si>
  <si>
    <t xml:space="preserve">Póliza de responsabilidad civil para stands (1 año)</t>
  </si>
  <si>
    <t xml:space="preserve">[HIPÓTESIS] Cotizar con una aseguradora; algunos malls la piden</t>
  </si>
  <si>
    <t xml:space="preserve">Subtotal documentos y permisos</t>
  </si>
  <si>
    <t xml:space="preserve">2. Desarrollo del producto</t>
  </si>
  <si>
    <t xml:space="preserve">Pruebas caseras: insumos de 3 lotes</t>
  </si>
  <si>
    <t xml:space="preserve">Documento 02</t>
  </si>
  <si>
    <t xml:space="preserve">Endulzantes para la versión sin octógono</t>
  </si>
  <si>
    <t xml:space="preserve">Análisis preliminar de azúcar y hierro (2 × S/375)</t>
  </si>
  <si>
    <t xml:space="preserve">Prueba sensorial con niños</t>
  </si>
  <si>
    <t xml:space="preserve">Desarrollo y lote piloto en la planta</t>
  </si>
  <si>
    <t xml:space="preserve">[POR CONFIRMAR] Documento 05</t>
  </si>
  <si>
    <t xml:space="preserve">Subtotal desarrollo</t>
  </si>
  <si>
    <t xml:space="preserve">3. Marca y puntos de venta</t>
  </si>
  <si>
    <t xml:space="preserve">Identidad de marca</t>
  </si>
  <si>
    <t xml:space="preserve">Fotos de producto</t>
  </si>
  <si>
    <t xml:space="preserve">Web y dominio</t>
  </si>
  <si>
    <t xml:space="preserve">Subtotal marca</t>
  </si>
  <si>
    <t xml:space="preserve">4. Arranque de la operación</t>
  </si>
  <si>
    <t xml:space="preserve">Empaque inicial (mínimos de compra)</t>
  </si>
  <si>
    <t xml:space="preserve">Stock inicial para enero y febrero</t>
  </si>
  <si>
    <t xml:space="preserve">Marketing de lanzamiento (degustaciones, influencers, POP)</t>
  </si>
  <si>
    <t xml:space="preserve">Capital de trabajo (2 meses)</t>
  </si>
  <si>
    <t xml:space="preserve">Subtotal arranque</t>
  </si>
  <si>
    <t xml:space="preserve">5. Activos que se deprecian</t>
  </si>
  <si>
    <t xml:space="preserve">Equipos mínimos y carrito de exhibición con gráfica</t>
  </si>
  <si>
    <t xml:space="preserve">Equipos mínimos (balanza, selladora, coolers, kit de feria, POS)</t>
  </si>
  <si>
    <t xml:space="preserve">1 carrito de exhibición con vitrina y gráfica (los otros puntos usan el kit de feria o el módulo del mall)</t>
  </si>
  <si>
    <t xml:space="preserve">Melamina a medida S/1,150 a 1,350 por metro lineal, más vitrina y gráfica (documento 08)</t>
  </si>
  <si>
    <t xml:space="preserve">Imprevistos (10 % de todo lo anterior)</t>
  </si>
  <si>
    <t xml:space="preserve">INVERSIÓN TOTAL</t>
  </si>
  <si>
    <t xml:space="preserve">Financiamiento</t>
  </si>
  <si>
    <t xml:space="preserve">Fuente</t>
  </si>
  <si>
    <t xml:space="preserve">S/</t>
  </si>
  <si>
    <t xml:space="preserve">Aporte de los 5 socios</t>
  </si>
  <si>
    <t xml:space="preserve">S/5,000 cada uno (documento 05)</t>
  </si>
  <si>
    <t xml:space="preserve">Préstamo</t>
  </si>
  <si>
    <t xml:space="preserve">Lo que falta, redondeado a S/500</t>
  </si>
  <si>
    <t xml:space="preserve">Tasa efectiva anual del préstamo</t>
  </si>
  <si>
    <t xml:space="preserve">[POR CONFIRMAR] Comparar tasas de microempresa en la SBS</t>
  </si>
  <si>
    <t xml:space="preserve">Número de cuotas mensuales</t>
  </si>
  <si>
    <t xml:space="preserve">24 cuotas: con 12, la cuota (unos S/1,560) se come la caja de los primeros meses</t>
  </si>
  <si>
    <t xml:space="preserve">Cuota mensual</t>
  </si>
  <si>
    <t xml:space="preserve">Intereses totales del préstamo</t>
  </si>
  <si>
    <t xml:space="preserve">Caja que sobra después de financiar la inversión</t>
  </si>
  <si>
    <t xml:space="preserve">Proyección mensual del año 1 (mes 1 = enero de 2027), escenario base</t>
  </si>
  <si>
    <t xml:space="preserve">Supone que los documentos y permisos ya están listos (su costo está en la hoja Inversion). La venta física es el canal principal; WhatsApp queda para la recompra. Cambie los datos azules para probar otro escenario.</t>
  </si>
  <si>
    <t xml:space="preserve">Actividad comercial del mes (datos)</t>
  </si>
  <si>
    <t xml:space="preserve">M1 Ene-27</t>
  </si>
  <si>
    <t xml:space="preserve">M2 Feb-27</t>
  </si>
  <si>
    <t xml:space="preserve">M3 Mar-27</t>
  </si>
  <si>
    <t xml:space="preserve">M4 Abr-27</t>
  </si>
  <si>
    <t xml:space="preserve">M5 May-27</t>
  </si>
  <si>
    <t xml:space="preserve">M6 Jun-27</t>
  </si>
  <si>
    <t xml:space="preserve">M7 Jul-27</t>
  </si>
  <si>
    <t xml:space="preserve">M8 Ago-27</t>
  </si>
  <si>
    <t xml:space="preserve">M9 Set-27</t>
  </si>
  <si>
    <t xml:space="preserve">M10 Oct-27</t>
  </si>
  <si>
    <t xml:space="preserve">M11 Nov-27</t>
  </si>
  <si>
    <t xml:space="preserve">M12 Dic-27</t>
  </si>
  <si>
    <t xml:space="preserve">Total año</t>
  </si>
  <si>
    <t xml:space="preserve">Puntos de venta con stand o carrito (fines de semana)</t>
  </si>
  <si>
    <t xml:space="preserve">Días de atención por punto en el mes</t>
  </si>
  <si>
    <t xml:space="preserve">Brownies vendidos por día en cada punto (meta: 80 o más)</t>
  </si>
  <si>
    <t xml:space="preserve">Ferias pagadas en el mes (campaña escolar y Navidad)</t>
  </si>
  <si>
    <t xml:space="preserve">Eventos sin costo (kermeses, cumpleaños, ferias gratuitas)</t>
  </si>
  <si>
    <t xml:space="preserve">Unidades a colegios (quiosco; año escolar de marzo a mediados de diciembre)</t>
  </si>
  <si>
    <t xml:space="preserve">Unidades a tiendas naturistas</t>
  </si>
  <si>
    <t xml:space="preserve">Unidades vendidas por canal</t>
  </si>
  <si>
    <t xml:space="preserve">Total unidades</t>
  </si>
  <si>
    <t xml:space="preserve">Producción que hay que pedir a la planta</t>
  </si>
  <si>
    <t xml:space="preserve">Unidades individuales sueltas</t>
  </si>
  <si>
    <t xml:space="preserve">Unidades que van en packs de 6</t>
  </si>
  <si>
    <t xml:space="preserve">Unidades que van en packs de 12</t>
  </si>
  <si>
    <t xml:space="preserve">Packs de 6 a armar</t>
  </si>
  <si>
    <t xml:space="preserve">Packs de 12 a armar</t>
  </si>
  <si>
    <t xml:space="preserve">Resultado mensual (S/ sin IGV, salvo la primera fila)</t>
  </si>
  <si>
    <t xml:space="preserve">Contribución con pack de 6 opción B</t>
  </si>
  <si>
    <t xml:space="preserve">Contribución con pack de 6 opción C</t>
  </si>
  <si>
    <t xml:space="preserve">Espacio para stands y carrito</t>
  </si>
  <si>
    <t xml:space="preserve">Vendedores de stand (por día de atención)</t>
  </si>
  <si>
    <t xml:space="preserve">Ferias pagadas</t>
  </si>
  <si>
    <t xml:space="preserve">Costos fijos del mes</t>
  </si>
  <si>
    <t xml:space="preserve">Resultado operativo — opción B</t>
  </si>
  <si>
    <t xml:space="preserve">Resultado operativo — opción C</t>
  </si>
  <si>
    <t xml:space="preserve">Resultado acumulado — opción B</t>
  </si>
  <si>
    <t xml:space="preserve">Resultado acumulado — opción C</t>
  </si>
  <si>
    <t xml:space="preserve">Cuota del préstamo</t>
  </si>
  <si>
    <t xml:space="preserve">Depreciación (no sale de caja)</t>
  </si>
  <si>
    <t xml:space="preserve">Caja al cierre del mes (capital de trabajo y lo que sobra de la inversión, más el resultado, más la depreciación, menos la cuota)</t>
  </si>
  <si>
    <t xml:space="preserve">La contribución multiplica las unidades de cada canal por la contribución por unidad de ese canal (hoja Proyeccion, tabla 2). Después se restan el alquiler de stands, las impulsadoras, las ferias pagadas y los costos fijos. No incluye intereses del préstamo ni el impuesto a la renta anual.</t>
  </si>
</sst>
</file>

<file path=xl/styles.xml><?xml version="1.0" encoding="utf-8"?>
<styleSheet xmlns="http://schemas.openxmlformats.org/spreadsheetml/2006/main">
  <numFmts count="8">
    <numFmt numFmtId="164" formatCode="General"/>
    <numFmt numFmtId="165" formatCode="&quot;S/ &quot;#,##0.00;&quot;(S/ &quot;#,##0.00\);\-"/>
    <numFmt numFmtId="166" formatCode="0.0%;\(0.0%\);\-"/>
    <numFmt numFmtId="167" formatCode="#,##0;\(#,##0\);\-"/>
    <numFmt numFmtId="168" formatCode="&quot;S/ &quot;#,##0;&quot;(S/ &quot;#,##0\);\-"/>
    <numFmt numFmtId="169" formatCode="0"/>
    <numFmt numFmtId="170" formatCode="0.000"/>
    <numFmt numFmtId="171" formatCode="0.00"/>
  </numFmts>
  <fonts count="12">
    <font>
      <sz val="11"/>
      <color theme="1"/>
      <name val="Calibri"/>
      <family val="2"/>
      <charset val="1"/>
    </font>
    <font>
      <sz val="10"/>
      <name val="Arial"/>
      <family val="0"/>
    </font>
    <font>
      <sz val="10"/>
      <name val="Arial"/>
      <family val="0"/>
    </font>
    <font>
      <sz val="10"/>
      <name val="Arial"/>
      <family val="0"/>
    </font>
    <font>
      <b val="true"/>
      <sz val="14"/>
      <color rgb="FF5C301E"/>
      <name val="Arial"/>
      <family val="0"/>
      <charset val="1"/>
    </font>
    <font>
      <sz val="10"/>
      <color rgb="FF000000"/>
      <name val="Arial"/>
      <family val="0"/>
      <charset val="1"/>
    </font>
    <font>
      <b val="true"/>
      <sz val="10"/>
      <color rgb="FF000000"/>
      <name val="Arial"/>
      <family val="0"/>
      <charset val="1"/>
    </font>
    <font>
      <b val="true"/>
      <sz val="11"/>
      <color rgb="FFFFFFFF"/>
      <name val="Arial"/>
      <family val="0"/>
      <charset val="1"/>
    </font>
    <font>
      <sz val="10"/>
      <color rgb="FF008000"/>
      <name val="Arial"/>
      <family val="0"/>
      <charset val="1"/>
    </font>
    <font>
      <b val="true"/>
      <sz val="10"/>
      <color rgb="FF008000"/>
      <name val="Arial"/>
      <family val="0"/>
      <charset val="1"/>
    </font>
    <font>
      <b val="true"/>
      <sz val="11"/>
      <color rgb="FF5C301E"/>
      <name val="Arial"/>
      <family val="0"/>
      <charset val="1"/>
    </font>
    <font>
      <sz val="10"/>
      <color rgb="FF0000FF"/>
      <name val="Arial"/>
      <family val="0"/>
      <charset val="1"/>
    </font>
  </fonts>
  <fills count="6">
    <fill>
      <patternFill patternType="none"/>
    </fill>
    <fill>
      <patternFill patternType="gray125"/>
    </fill>
    <fill>
      <patternFill patternType="solid">
        <fgColor rgb="FF8B1E2B"/>
        <bgColor rgb="FF993366"/>
      </patternFill>
    </fill>
    <fill>
      <patternFill patternType="solid">
        <fgColor rgb="FFF7ECDA"/>
        <bgColor rgb="FFFFFFFF"/>
      </patternFill>
    </fill>
    <fill>
      <patternFill patternType="solid">
        <fgColor rgb="FFE8CDB3"/>
        <bgColor rgb="FFBFBFB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6" fillId="3"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5" fontId="6" fillId="3" borderId="0" xfId="0" applyFont="true" applyBorder="false" applyAlignment="false" applyProtection="false">
      <alignment horizontal="general" vertical="bottom" textRotation="0" wrapText="false" indent="0" shrinkToFit="false"/>
      <protection locked="true" hidden="false"/>
    </xf>
    <xf numFmtId="167" fontId="6"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7EC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E8CDB3"/>
      <rgbColor rgb="FF3366FF"/>
      <rgbColor rgb="FF33CCCC"/>
      <rgbColor rgb="FF99CC00"/>
      <rgbColor rgb="FFFFCC00"/>
      <rgbColor rgb="FFFF9900"/>
      <rgbColor rgb="FFFF6600"/>
      <rgbColor rgb="FF666699"/>
      <rgbColor rgb="FF969696"/>
      <rgbColor rgb="FF003366"/>
      <rgbColor rgb="FF339966"/>
      <rgbColor rgb="FF003300"/>
      <rgbColor rgb="FF333300"/>
      <rgbColor rgb="FF8B1E2B"/>
      <rgbColor rgb="FF993366"/>
      <rgbColor rgb="FF333399"/>
      <rgbColor rgb="FF5C30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3" customFormat="false" ht="23.8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row>
    <row r="10" customFormat="false" ht="15" hidden="false" customHeight="false" outlineLevel="0" collapsed="false">
      <c r="A10" s="3" t="s">
        <v>6</v>
      </c>
    </row>
    <row r="11" customFormat="false" ht="15" hidden="false" customHeight="false" outlineLevel="0" collapsed="false">
      <c r="A11" s="2" t="s">
        <v>7</v>
      </c>
    </row>
    <row r="12" customFormat="false" ht="15" hidden="false" customHeight="false" outlineLevel="0" collapsed="false">
      <c r="A12" s="2" t="s">
        <v>8</v>
      </c>
    </row>
    <row r="13" customFormat="false" ht="15" hidden="false" customHeight="false" outlineLevel="0" collapsed="false">
      <c r="A13" s="2" t="s">
        <v>9</v>
      </c>
    </row>
    <row r="14" customFormat="false" ht="15" hidden="false" customHeight="false" outlineLevel="0" collapsed="false">
      <c r="A14" s="2" t="s">
        <v>10</v>
      </c>
    </row>
    <row r="15" customFormat="false" ht="15" hidden="false" customHeight="false" outlineLevel="0" collapsed="false">
      <c r="A15" s="2" t="s">
        <v>11</v>
      </c>
    </row>
    <row r="16" customFormat="false" ht="23.85" hidden="false" customHeight="false" outlineLevel="0" collapsed="false">
      <c r="A16" s="2" t="s">
        <v>12</v>
      </c>
    </row>
    <row r="17" customFormat="false" ht="15" hidden="false" customHeight="false" outlineLevel="0" collapsed="false">
      <c r="A17" s="2"/>
    </row>
    <row r="18" customFormat="false" ht="15" hidden="false" customHeight="false" outlineLevel="0" collapsed="false">
      <c r="A18" s="3" t="s">
        <v>13</v>
      </c>
    </row>
    <row r="19" customFormat="false" ht="23.85" hidden="false" customHeight="false" outlineLevel="0" collapsed="false">
      <c r="A19" s="2" t="s">
        <v>14</v>
      </c>
    </row>
    <row r="20" customFormat="false" ht="23.85" hidden="false" customHeight="false" outlineLevel="0" collapsed="false">
      <c r="A20" s="2" t="s">
        <v>15</v>
      </c>
    </row>
    <row r="21" customFormat="false" ht="15" hidden="false" customHeight="false" outlineLevel="0" collapsed="false">
      <c r="A21" s="2" t="s">
        <v>16</v>
      </c>
    </row>
    <row r="22" customFormat="false" ht="15" hidden="false" customHeight="false" outlineLevel="0" collapsed="false">
      <c r="A22" s="2" t="s">
        <v>17</v>
      </c>
    </row>
    <row r="23" customFormat="false" ht="23.85" hidden="false" customHeight="false" outlineLevel="0" collapsed="false">
      <c r="A23" s="2" t="s">
        <v>18</v>
      </c>
    </row>
    <row r="24" customFormat="false" ht="15" hidden="false" customHeight="false" outlineLevel="0" collapsed="false">
      <c r="A24" s="2" t="s">
        <v>19</v>
      </c>
    </row>
    <row r="25" customFormat="false" ht="15" hidden="false" customHeight="false" outlineLevel="0" collapsed="false">
      <c r="A25" s="2"/>
    </row>
    <row r="26" customFormat="false" ht="23.85" hidden="false" customHeight="false" outlineLevel="0" collapsed="false">
      <c r="A26" s="2" t="s">
        <v>20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7" min="2" style="0" width="20"/>
  </cols>
  <sheetData>
    <row r="1" customFormat="false" ht="17.35" hidden="false" customHeight="false" outlineLevel="0" collapsed="false">
      <c r="A1" s="1" t="s">
        <v>21</v>
      </c>
    </row>
    <row r="2" customFormat="false" ht="15" hidden="false" customHeight="false" outlineLevel="0" collapsed="false">
      <c r="A2" s="4" t="s">
        <v>22</v>
      </c>
    </row>
    <row r="4" customFormat="false" ht="42" hidden="false" customHeight="true" outlineLevel="0" collapsed="false">
      <c r="A4" s="5" t="s">
        <v>23</v>
      </c>
      <c r="B4" s="5" t="s">
        <v>24</v>
      </c>
      <c r="C4" s="5" t="s">
        <v>25</v>
      </c>
      <c r="D4" s="5" t="s">
        <v>26</v>
      </c>
      <c r="E4" s="5" t="s">
        <v>27</v>
      </c>
      <c r="F4" s="5" t="s">
        <v>28</v>
      </c>
      <c r="G4" s="5" t="s">
        <v>29</v>
      </c>
    </row>
    <row r="5" customFormat="false" ht="15" hidden="false" customHeight="false" outlineLevel="0" collapsed="false">
      <c r="A5" s="4" t="s">
        <v>30</v>
      </c>
      <c r="B5" s="6" t="n">
        <f aca="false">Costeo!B15</f>
        <v>1.4255</v>
      </c>
      <c r="C5" s="6" t="n">
        <f aca="false">Costeo!B16</f>
        <v>1.4255</v>
      </c>
      <c r="D5" s="6" t="n">
        <f aca="false">Costeo!B19</f>
        <v>5.5</v>
      </c>
      <c r="E5" s="7" t="n">
        <f aca="false">Costeo!B22</f>
        <v>0.694165454545455</v>
      </c>
      <c r="F5" s="6" t="n">
        <f aca="false">Costeo!B25</f>
        <v>4</v>
      </c>
      <c r="G5" s="7" t="n">
        <f aca="false">Costeo!B28</f>
        <v>0.5794775</v>
      </c>
    </row>
    <row r="6" customFormat="false" ht="15" hidden="false" customHeight="false" outlineLevel="0" collapsed="false">
      <c r="A6" s="4" t="s">
        <v>31</v>
      </c>
      <c r="B6" s="6" t="n">
        <f aca="false">Costeo!C15</f>
        <v>8.2905</v>
      </c>
      <c r="C6" s="6" t="n">
        <f aca="false">Costeo!C16</f>
        <v>1.38175</v>
      </c>
      <c r="D6" s="6" t="n">
        <f aca="false">Costeo!C19</f>
        <v>26</v>
      </c>
      <c r="E6" s="7" t="n">
        <f aca="false">Costeo!C22</f>
        <v>0.623738846153846</v>
      </c>
      <c r="F6" s="6" t="n">
        <f aca="false">Costeo!C25</f>
        <v>24.9</v>
      </c>
      <c r="G6" s="7" t="n">
        <f aca="false">Costeo!C28</f>
        <v>0.60711686746988</v>
      </c>
    </row>
    <row r="7" customFormat="false" ht="15" hidden="false" customHeight="false" outlineLevel="0" collapsed="false">
      <c r="A7" s="4" t="s">
        <v>32</v>
      </c>
      <c r="B7" s="6" t="n">
        <f aca="false">Costeo!D15</f>
        <v>7.7865</v>
      </c>
      <c r="C7" s="6" t="n">
        <f aca="false">Costeo!D16</f>
        <v>1.29775</v>
      </c>
      <c r="D7" s="6" t="n">
        <f aca="false">Costeo!D19</f>
        <v>26</v>
      </c>
      <c r="E7" s="7" t="n">
        <f aca="false">Costeo!D22</f>
        <v>0.646612692307692</v>
      </c>
      <c r="F7" s="6" t="n">
        <f aca="false">Costeo!D25</f>
        <v>24.9</v>
      </c>
      <c r="G7" s="7" t="n">
        <f aca="false">Costeo!D28</f>
        <v>0.631001204819277</v>
      </c>
    </row>
    <row r="8" customFormat="false" ht="15" hidden="false" customHeight="false" outlineLevel="0" collapsed="false">
      <c r="A8" s="4" t="s">
        <v>33</v>
      </c>
      <c r="B8" s="6" t="n">
        <f aca="false">Costeo!E15</f>
        <v>15.447</v>
      </c>
      <c r="C8" s="6" t="n">
        <f aca="false">Costeo!E16</f>
        <v>1.28725</v>
      </c>
      <c r="D8" s="6" t="n">
        <f aca="false">Costeo!E19</f>
        <v>48</v>
      </c>
      <c r="E8" s="7" t="n">
        <f aca="false">Costeo!E22</f>
        <v>0.62026125</v>
      </c>
      <c r="F8" s="6" t="n">
        <f aca="false">Costeo!E25</f>
        <v>46.9</v>
      </c>
      <c r="G8" s="7" t="n">
        <f aca="false">Costeo!E28</f>
        <v>0.611354797441365</v>
      </c>
    </row>
    <row r="11" customFormat="false" ht="15" hidden="false" customHeight="false" outlineLevel="0" collapsed="false">
      <c r="A11" s="5" t="s">
        <v>34</v>
      </c>
      <c r="B11" s="5" t="s">
        <v>35</v>
      </c>
      <c r="C11" s="5" t="s">
        <v>36</v>
      </c>
      <c r="D11" s="5"/>
      <c r="E11" s="5"/>
    </row>
    <row r="12" customFormat="false" ht="15" hidden="false" customHeight="false" outlineLevel="0" collapsed="false">
      <c r="A12" s="4" t="s">
        <v>37</v>
      </c>
      <c r="B12" s="8" t="n">
        <f aca="false">Proyeccion!F20</f>
        <v>52786</v>
      </c>
      <c r="C12" s="8" t="n">
        <f aca="false">Proyeccion!F20</f>
        <v>52786</v>
      </c>
    </row>
    <row r="13" customFormat="false" ht="15" hidden="false" customHeight="false" outlineLevel="0" collapsed="false">
      <c r="A13" s="4" t="s">
        <v>38</v>
      </c>
      <c r="B13" s="9" t="n">
        <f aca="false">Proyeccion!I20</f>
        <v>230740.383333333</v>
      </c>
      <c r="C13" s="9" t="n">
        <f aca="false">Proyeccion!I20</f>
        <v>230740.383333333</v>
      </c>
    </row>
    <row r="14" customFormat="false" ht="15" hidden="false" customHeight="false" outlineLevel="0" collapsed="false">
      <c r="A14" s="4" t="s">
        <v>39</v>
      </c>
      <c r="B14" s="9" t="n">
        <f aca="false">Proyeccion!J20</f>
        <v>195542.697740113</v>
      </c>
      <c r="C14" s="9" t="n">
        <f aca="false">Proyeccion!J20</f>
        <v>195542.697740113</v>
      </c>
    </row>
    <row r="15" customFormat="false" ht="15" hidden="false" customHeight="false" outlineLevel="0" collapsed="false">
      <c r="A15" s="4" t="s">
        <v>40</v>
      </c>
      <c r="B15" s="9" t="n">
        <f aca="false">Proyeccion!P20</f>
        <v>96848.2879877119</v>
      </c>
      <c r="C15" s="9" t="n">
        <f aca="false">Proyeccion!Q20</f>
        <v>98492.5333877119</v>
      </c>
    </row>
    <row r="16" customFormat="false" ht="15" hidden="false" customHeight="false" outlineLevel="0" collapsed="false">
      <c r="A16" s="4" t="s">
        <v>41</v>
      </c>
      <c r="B16" s="9" t="n">
        <f aca="false">Mensual!N33+Mensual!N34+Mensual!N35</f>
        <v>45870</v>
      </c>
      <c r="C16" s="9" t="n">
        <f aca="false">Mensual!N33+Mensual!N34+Mensual!N35</f>
        <v>45870</v>
      </c>
    </row>
    <row r="17" customFormat="false" ht="15" hidden="false" customHeight="false" outlineLevel="0" collapsed="false">
      <c r="A17" s="4" t="s">
        <v>42</v>
      </c>
      <c r="B17" s="9" t="n">
        <f aca="false">Supuestos!B72*12</f>
        <v>30040.6666666667</v>
      </c>
      <c r="C17" s="9" t="n">
        <f aca="false">Supuestos!B72*12</f>
        <v>30040.6666666667</v>
      </c>
    </row>
    <row r="18" customFormat="false" ht="15" hidden="false" customHeight="false" outlineLevel="0" collapsed="false">
      <c r="A18" s="10" t="s">
        <v>43</v>
      </c>
      <c r="B18" s="11" t="n">
        <f aca="false">B15-B16-B17</f>
        <v>20937.6213210452</v>
      </c>
      <c r="C18" s="11" t="n">
        <f aca="false">C15-C16-C17</f>
        <v>22581.8667210452</v>
      </c>
    </row>
    <row r="19" customFormat="false" ht="15" hidden="false" customHeight="false" outlineLevel="0" collapsed="false">
      <c r="A19" s="4" t="s">
        <v>44</v>
      </c>
      <c r="B19" s="12" t="n">
        <f aca="false">IF(B14=0,0,B18/B14)</f>
        <v>0.107074421919209</v>
      </c>
      <c r="C19" s="12" t="n">
        <f aca="false">IF(C14=0,0,C18/C14)</f>
        <v>0.115483047856166</v>
      </c>
    </row>
    <row r="20" customFormat="false" ht="15" hidden="false" customHeight="false" outlineLevel="0" collapsed="false">
      <c r="A20" s="4" t="s">
        <v>45</v>
      </c>
      <c r="B20" s="13" t="n">
        <f aca="false">IF(B12=0,0,(B15-B16)/B12)</f>
        <v>0.96575394967817</v>
      </c>
      <c r="C20" s="13" t="n">
        <f aca="false">IF(C12=0,0,(C15-C16)/C12)</f>
        <v>0.996903220318112</v>
      </c>
    </row>
    <row r="21" customFormat="false" ht="15" hidden="false" customHeight="false" outlineLevel="0" collapsed="false">
      <c r="A21" s="10" t="s">
        <v>46</v>
      </c>
      <c r="B21" s="14" t="n">
        <f aca="false">IF(B20&lt;=0,"No alcanza",Supuestos!$B$72/B20)</f>
        <v>2592.16013532549</v>
      </c>
      <c r="C21" s="14" t="n">
        <f aca="false">IF(C20&lt;=0,"No alcanza",Supuestos!$B$72/C20)</f>
        <v>2511.16541492368</v>
      </c>
    </row>
    <row r="22" customFormat="false" ht="15" hidden="false" customHeight="false" outlineLevel="0" collapsed="false">
      <c r="A22" s="4" t="s">
        <v>47</v>
      </c>
      <c r="B22" s="15" t="n">
        <f aca="false">IF(ISNUMBER(B21),B21/6,"No alcanza")</f>
        <v>432.026689220915</v>
      </c>
      <c r="C22" s="15" t="n">
        <f aca="false">IF(ISNUMBER(C21),C21/6,"No alcanza")</f>
        <v>418.527569153947</v>
      </c>
    </row>
    <row r="23" customFormat="false" ht="15" hidden="false" customHeight="false" outlineLevel="0" collapsed="false">
      <c r="A23" s="4" t="s">
        <v>48</v>
      </c>
      <c r="B23" s="9" t="n">
        <f aca="false">Inversion!B42</f>
        <v>37894.241</v>
      </c>
      <c r="C23" s="9" t="n">
        <f aca="false">Inversion!B42</f>
        <v>37894.241</v>
      </c>
    </row>
    <row r="24" customFormat="false" ht="15" hidden="false" customHeight="false" outlineLevel="0" collapsed="false">
      <c r="A24" s="4" t="s">
        <v>49</v>
      </c>
      <c r="B24" s="16" t="n">
        <f aca="false">B18-B23</f>
        <v>-16956.6196789548</v>
      </c>
      <c r="C24" s="16" t="n">
        <f aca="false">C18-C23</f>
        <v>-15312.3742789548</v>
      </c>
    </row>
    <row r="25" customFormat="false" ht="15" hidden="false" customHeight="false" outlineLevel="0" collapsed="false">
      <c r="A25" s="4" t="s">
        <v>50</v>
      </c>
      <c r="B25" s="9" t="n">
        <f aca="false">MIN(Mensual!B43:M43)</f>
        <v>3917.38213254684</v>
      </c>
      <c r="C25" s="9" t="n">
        <f aca="false">MIN(Mensual!B43:M43)</f>
        <v>3917.38213254684</v>
      </c>
    </row>
    <row r="26" customFormat="false" ht="15" hidden="false" customHeight="false" outlineLevel="0" collapsed="false">
      <c r="A26" s="4" t="s">
        <v>51</v>
      </c>
      <c r="B26" s="17" t="n">
        <f aca="false">IF(B18&gt;=B23,"Dentro del año 1",ROUNDUP(12+(B23-B18)/AVERAGE(Mensual!K37:M37),0))</f>
        <v>18</v>
      </c>
      <c r="C26" s="17" t="n">
        <f aca="false">IF(C18&gt;=C23,"Dentro del año 1",ROUNDUP(12+(C23-C18)/AVERAGE(Mensual!K38:M38),0))</f>
        <v>17</v>
      </c>
    </row>
    <row r="28" customFormat="false" ht="15" hidden="false" customHeight="false" outlineLevel="0" collapsed="false">
      <c r="A28" s="10" t="s">
        <v>52</v>
      </c>
    </row>
    <row r="29" customFormat="false" ht="15" hidden="false" customHeight="false" outlineLevel="0" collapsed="false">
      <c r="A29" s="4" t="s">
        <v>53</v>
      </c>
      <c r="B29" s="16" t="n">
        <f aca="false">B18</f>
        <v>20937.6213210452</v>
      </c>
    </row>
    <row r="30" customFormat="false" ht="15" hidden="false" customHeight="false" outlineLevel="0" collapsed="false">
      <c r="A30" s="4" t="s">
        <v>54</v>
      </c>
      <c r="B30" s="9" t="n">
        <f aca="false">Supuestos!B28*B14</f>
        <v>1955.42697740113</v>
      </c>
    </row>
    <row r="31" customFormat="false" ht="15" hidden="false" customHeight="false" outlineLevel="0" collapsed="false">
      <c r="A31" s="4" t="s">
        <v>55</v>
      </c>
      <c r="B31" s="9" t="n">
        <f aca="false">-CUMIPMT((1+Inversion!B48)^(1/12)-1,Inversion!B49,Inversion!B47,1,12,0)</f>
        <v>3221.74190432229</v>
      </c>
    </row>
    <row r="32" customFormat="false" ht="15" hidden="false" customHeight="false" outlineLevel="0" collapsed="false">
      <c r="A32" s="4" t="s">
        <v>56</v>
      </c>
      <c r="B32" s="16" t="n">
        <f aca="false">B29+B30-B31</f>
        <v>19671.306394124</v>
      </c>
    </row>
    <row r="33" customFormat="false" ht="15" hidden="false" customHeight="false" outlineLevel="0" collapsed="false">
      <c r="A33" s="4" t="s">
        <v>57</v>
      </c>
      <c r="B33" s="16" t="n">
        <f aca="false">MAX(0,0.1*B32)</f>
        <v>1967.13063941241</v>
      </c>
    </row>
    <row r="34" customFormat="false" ht="15" hidden="false" customHeight="false" outlineLevel="0" collapsed="false">
      <c r="A34" s="10" t="s">
        <v>58</v>
      </c>
      <c r="B34" s="11" t="n">
        <f aca="false">B32-B33</f>
        <v>17704.1757547116</v>
      </c>
    </row>
    <row r="36" customFormat="false" ht="15" hidden="false" customHeight="false" outlineLevel="0" collapsed="false">
      <c r="A36" s="10" t="s">
        <v>59</v>
      </c>
    </row>
    <row r="37" customFormat="false" ht="15" hidden="false" customHeight="false" outlineLevel="0" collapsed="false">
      <c r="A37" s="4" t="s">
        <v>60</v>
      </c>
    </row>
    <row r="38" customFormat="false" ht="15" hidden="false" customHeight="false" outlineLevel="0" collapsed="false">
      <c r="A38" s="4" t="s">
        <v>61</v>
      </c>
    </row>
    <row r="39" customFormat="false" ht="15" hidden="false" customHeight="false" outlineLevel="0" collapsed="false">
      <c r="A39" s="4" t="s">
        <v>62</v>
      </c>
    </row>
    <row r="40" customFormat="false" ht="15" hidden="false" customHeight="false" outlineLevel="0" collapsed="false">
      <c r="A40" s="4" t="s">
        <v>63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2" min="2" style="0" width="16"/>
    <col collapsed="false" customWidth="true" hidden="false" outlineLevel="0" max="3" min="3" style="0" width="20"/>
    <col collapsed="false" customWidth="true" hidden="false" outlineLevel="0" max="4" min="4" style="0" width="90"/>
    <col collapsed="false" customWidth="true" hidden="false" outlineLevel="0" max="5" min="5" style="0" width="40"/>
  </cols>
  <sheetData>
    <row r="1" customFormat="false" ht="17.35" hidden="false" customHeight="false" outlineLevel="0" collapsed="false">
      <c r="A1" s="1" t="s">
        <v>64</v>
      </c>
    </row>
    <row r="2" customFormat="false" ht="15" hidden="false" customHeight="false" outlineLevel="0" collapsed="false">
      <c r="A2" s="4" t="s">
        <v>65</v>
      </c>
    </row>
    <row r="4" customFormat="false" ht="15" hidden="false" customHeight="false" outlineLevel="0" collapsed="false">
      <c r="A4" s="18" t="s">
        <v>66</v>
      </c>
      <c r="B4" s="19"/>
      <c r="C4" s="19"/>
      <c r="D4" s="19"/>
    </row>
    <row r="5" customFormat="false" ht="15" hidden="false" customHeight="false" outlineLevel="0" collapsed="false">
      <c r="A5" s="5" t="s">
        <v>67</v>
      </c>
      <c r="B5" s="5" t="s">
        <v>68</v>
      </c>
      <c r="C5" s="5" t="s">
        <v>69</v>
      </c>
      <c r="D5" s="5" t="s">
        <v>70</v>
      </c>
    </row>
    <row r="6" customFormat="false" ht="15" hidden="false" customHeight="false" outlineLevel="0" collapsed="false">
      <c r="A6" s="4" t="s">
        <v>71</v>
      </c>
      <c r="B6" s="20" t="n">
        <v>0.4</v>
      </c>
      <c r="C6" s="4" t="s">
        <v>72</v>
      </c>
      <c r="D6" s="4" t="s">
        <v>73</v>
      </c>
    </row>
    <row r="7" customFormat="false" ht="15" hidden="false" customHeight="false" outlineLevel="0" collapsed="false">
      <c r="A7" s="4" t="s">
        <v>74</v>
      </c>
      <c r="B7" s="20" t="n">
        <v>0.45</v>
      </c>
      <c r="C7" s="4" t="s">
        <v>72</v>
      </c>
      <c r="D7" s="4" t="s">
        <v>75</v>
      </c>
    </row>
    <row r="8" customFormat="false" ht="15" hidden="false" customHeight="false" outlineLevel="0" collapsed="false">
      <c r="A8" s="4" t="s">
        <v>76</v>
      </c>
      <c r="B8" s="21" t="n">
        <v>0</v>
      </c>
      <c r="C8" s="4" t="s">
        <v>72</v>
      </c>
      <c r="D8" s="4" t="s">
        <v>77</v>
      </c>
    </row>
    <row r="9" customFormat="false" ht="15" hidden="false" customHeight="false" outlineLevel="0" collapsed="false">
      <c r="A9" s="4" t="s">
        <v>78</v>
      </c>
      <c r="B9" s="20" t="n">
        <v>0.09</v>
      </c>
      <c r="C9" s="4" t="s">
        <v>72</v>
      </c>
      <c r="D9" s="4" t="s">
        <v>79</v>
      </c>
    </row>
    <row r="10" customFormat="false" ht="15" hidden="false" customHeight="false" outlineLevel="0" collapsed="false">
      <c r="A10" s="4" t="s">
        <v>80</v>
      </c>
      <c r="B10" s="20" t="n">
        <v>0.25</v>
      </c>
      <c r="C10" s="4" t="s">
        <v>72</v>
      </c>
      <c r="D10" s="4" t="s">
        <v>81</v>
      </c>
    </row>
    <row r="11" customFormat="false" ht="15" hidden="false" customHeight="false" outlineLevel="0" collapsed="false">
      <c r="A11" s="4" t="s">
        <v>82</v>
      </c>
      <c r="B11" s="20" t="n">
        <v>0.01</v>
      </c>
      <c r="C11" s="4" t="s">
        <v>72</v>
      </c>
      <c r="D11" s="4" t="s">
        <v>83</v>
      </c>
    </row>
    <row r="12" customFormat="false" ht="15" hidden="false" customHeight="false" outlineLevel="0" collapsed="false">
      <c r="A12" s="4" t="s">
        <v>84</v>
      </c>
      <c r="B12" s="20" t="n">
        <v>0.083</v>
      </c>
      <c r="C12" s="4" t="s">
        <v>72</v>
      </c>
      <c r="D12" s="4" t="s">
        <v>85</v>
      </c>
    </row>
    <row r="13" customFormat="false" ht="15" hidden="false" customHeight="false" outlineLevel="0" collapsed="false">
      <c r="A13" s="4" t="s">
        <v>86</v>
      </c>
      <c r="B13" s="20" t="n">
        <v>0.053</v>
      </c>
      <c r="C13" s="4" t="s">
        <v>72</v>
      </c>
      <c r="D13" s="4" t="s">
        <v>87</v>
      </c>
    </row>
    <row r="14" customFormat="false" ht="15" hidden="false" customHeight="false" outlineLevel="0" collapsed="false">
      <c r="A14" s="4" t="s">
        <v>88</v>
      </c>
      <c r="B14" s="20" t="n">
        <v>0.04</v>
      </c>
      <c r="C14" s="4" t="s">
        <v>72</v>
      </c>
      <c r="D14" s="4" t="s">
        <v>89</v>
      </c>
    </row>
    <row r="15" customFormat="false" ht="15" hidden="false" customHeight="false" outlineLevel="0" collapsed="false">
      <c r="A15" s="4" t="s">
        <v>90</v>
      </c>
      <c r="B15" s="22" t="n">
        <v>0.05</v>
      </c>
      <c r="C15" s="4" t="s">
        <v>91</v>
      </c>
      <c r="D15" s="4" t="s">
        <v>92</v>
      </c>
    </row>
    <row r="17" customFormat="false" ht="15" hidden="false" customHeight="false" outlineLevel="0" collapsed="false">
      <c r="A17" s="18" t="s">
        <v>93</v>
      </c>
      <c r="B17" s="19"/>
      <c r="C17" s="19"/>
      <c r="D17" s="19"/>
    </row>
    <row r="18" customFormat="false" ht="15" hidden="false" customHeight="false" outlineLevel="0" collapsed="false">
      <c r="A18" s="5" t="s">
        <v>67</v>
      </c>
      <c r="B18" s="5" t="s">
        <v>68</v>
      </c>
      <c r="C18" s="5" t="s">
        <v>69</v>
      </c>
      <c r="D18" s="5" t="s">
        <v>70</v>
      </c>
    </row>
    <row r="19" customFormat="false" ht="15" hidden="false" customHeight="false" outlineLevel="0" collapsed="false">
      <c r="A19" s="4" t="s">
        <v>94</v>
      </c>
      <c r="B19" s="23" t="n">
        <v>0.53</v>
      </c>
      <c r="C19" s="4" t="s">
        <v>95</v>
      </c>
      <c r="D19" s="4" t="s">
        <v>96</v>
      </c>
    </row>
    <row r="20" customFormat="false" ht="15" hidden="false" customHeight="false" outlineLevel="0" collapsed="false">
      <c r="A20" s="4" t="s">
        <v>97</v>
      </c>
      <c r="B20" s="23" t="n">
        <v>0.72</v>
      </c>
      <c r="C20" s="4" t="s">
        <v>95</v>
      </c>
      <c r="D20" s="4" t="s">
        <v>98</v>
      </c>
    </row>
    <row r="21" customFormat="false" ht="15" hidden="false" customHeight="false" outlineLevel="0" collapsed="false">
      <c r="A21" s="4" t="s">
        <v>99</v>
      </c>
      <c r="B21" s="24" t="n">
        <v>0.7</v>
      </c>
      <c r="C21" s="4" t="s">
        <v>95</v>
      </c>
      <c r="D21" s="4" t="s">
        <v>100</v>
      </c>
    </row>
    <row r="22" customFormat="false" ht="15" hidden="false" customHeight="false" outlineLevel="0" collapsed="false">
      <c r="A22" s="4" t="s">
        <v>101</v>
      </c>
      <c r="B22" s="23" t="n">
        <v>0.72</v>
      </c>
      <c r="C22" s="4" t="s">
        <v>95</v>
      </c>
      <c r="D22" s="4" t="s">
        <v>102</v>
      </c>
    </row>
    <row r="24" customFormat="false" ht="15" hidden="false" customHeight="false" outlineLevel="0" collapsed="false">
      <c r="A24" s="18" t="s">
        <v>103</v>
      </c>
      <c r="B24" s="19"/>
      <c r="C24" s="19"/>
      <c r="D24" s="19"/>
    </row>
    <row r="25" customFormat="false" ht="15" hidden="false" customHeight="false" outlineLevel="0" collapsed="false">
      <c r="A25" s="5" t="s">
        <v>67</v>
      </c>
      <c r="B25" s="5" t="s">
        <v>68</v>
      </c>
      <c r="C25" s="5" t="s">
        <v>69</v>
      </c>
      <c r="D25" s="5" t="s">
        <v>70</v>
      </c>
    </row>
    <row r="26" customFormat="false" ht="15" hidden="false" customHeight="false" outlineLevel="0" collapsed="false">
      <c r="A26" s="4" t="s">
        <v>104</v>
      </c>
      <c r="B26" s="22" t="n">
        <v>0.18</v>
      </c>
      <c r="C26" s="4" t="s">
        <v>91</v>
      </c>
      <c r="D26" s="4" t="s">
        <v>105</v>
      </c>
    </row>
    <row r="27" customFormat="false" ht="15" hidden="false" customHeight="false" outlineLevel="0" collapsed="false">
      <c r="A27" s="4" t="s">
        <v>106</v>
      </c>
      <c r="B27" s="22" t="n">
        <v>0.03</v>
      </c>
      <c r="C27" s="4" t="s">
        <v>91</v>
      </c>
      <c r="D27" s="4" t="s">
        <v>107</v>
      </c>
    </row>
    <row r="28" customFormat="false" ht="15" hidden="false" customHeight="false" outlineLevel="0" collapsed="false">
      <c r="A28" s="4" t="s">
        <v>108</v>
      </c>
      <c r="B28" s="22" t="n">
        <v>0.01</v>
      </c>
      <c r="C28" s="4" t="s">
        <v>91</v>
      </c>
      <c r="D28" s="4" t="s">
        <v>109</v>
      </c>
    </row>
    <row r="30" customFormat="false" ht="15" hidden="false" customHeight="false" outlineLevel="0" collapsed="false">
      <c r="A30" s="18" t="s">
        <v>110</v>
      </c>
      <c r="B30" s="19"/>
      <c r="C30" s="19"/>
      <c r="D30" s="19"/>
    </row>
    <row r="31" customFormat="false" ht="26.85" hidden="false" customHeight="false" outlineLevel="0" collapsed="false">
      <c r="A31" s="5" t="s">
        <v>111</v>
      </c>
      <c r="B31" s="5" t="s">
        <v>112</v>
      </c>
      <c r="C31" s="5" t="s">
        <v>113</v>
      </c>
      <c r="D31" s="5" t="s">
        <v>114</v>
      </c>
    </row>
    <row r="32" customFormat="false" ht="15" hidden="false" customHeight="false" outlineLevel="0" collapsed="false">
      <c r="A32" s="4" t="s">
        <v>115</v>
      </c>
      <c r="B32" s="23" t="n">
        <v>0.27</v>
      </c>
      <c r="C32" s="25" t="n">
        <v>1</v>
      </c>
      <c r="D32" s="4" t="s">
        <v>116</v>
      </c>
    </row>
    <row r="33" customFormat="false" ht="15" hidden="false" customHeight="false" outlineLevel="0" collapsed="false">
      <c r="A33" s="4" t="s">
        <v>117</v>
      </c>
      <c r="B33" s="23" t="n">
        <v>0.27</v>
      </c>
      <c r="C33" s="25" t="n">
        <v>1</v>
      </c>
      <c r="D33" s="4" t="s">
        <v>118</v>
      </c>
    </row>
    <row r="34" customFormat="false" ht="15" hidden="false" customHeight="false" outlineLevel="0" collapsed="false">
      <c r="A34" s="4" t="s">
        <v>119</v>
      </c>
      <c r="B34" s="23" t="n">
        <v>0.8</v>
      </c>
      <c r="C34" s="25" t="n">
        <v>1</v>
      </c>
      <c r="D34" s="4" t="s">
        <v>120</v>
      </c>
    </row>
    <row r="35" customFormat="false" ht="15" hidden="false" customHeight="false" outlineLevel="0" collapsed="false">
      <c r="A35" s="4" t="s">
        <v>121</v>
      </c>
      <c r="B35" s="23" t="n">
        <v>0.1</v>
      </c>
      <c r="C35" s="25" t="n">
        <v>0</v>
      </c>
      <c r="D35" s="4" t="s">
        <v>122</v>
      </c>
    </row>
    <row r="36" customFormat="false" ht="15" hidden="false" customHeight="false" outlineLevel="0" collapsed="false">
      <c r="A36" s="4" t="s">
        <v>123</v>
      </c>
      <c r="B36" s="23" t="n">
        <v>0.15</v>
      </c>
      <c r="C36" s="25" t="n">
        <v>0</v>
      </c>
      <c r="D36" s="4" t="s">
        <v>124</v>
      </c>
    </row>
    <row r="38" customFormat="false" ht="15" hidden="false" customHeight="false" outlineLevel="0" collapsed="false">
      <c r="A38" s="18" t="s">
        <v>125</v>
      </c>
      <c r="B38" s="19"/>
      <c r="C38" s="19"/>
      <c r="D38" s="19"/>
      <c r="E38" s="19"/>
    </row>
    <row r="39" customFormat="false" ht="26.85" hidden="false" customHeight="false" outlineLevel="0" collapsed="false">
      <c r="A39" s="5" t="s">
        <v>111</v>
      </c>
      <c r="B39" s="5" t="s">
        <v>30</v>
      </c>
      <c r="C39" s="5" t="s">
        <v>126</v>
      </c>
      <c r="D39" s="5" t="s">
        <v>33</v>
      </c>
      <c r="E39" s="5" t="s">
        <v>114</v>
      </c>
    </row>
    <row r="40" customFormat="false" ht="15" hidden="false" customHeight="false" outlineLevel="0" collapsed="false">
      <c r="A40" s="4" t="s">
        <v>115</v>
      </c>
      <c r="B40" s="26" t="n">
        <v>5.5</v>
      </c>
      <c r="C40" s="26" t="n">
        <v>26</v>
      </c>
      <c r="D40" s="26" t="n">
        <v>48</v>
      </c>
      <c r="E40" s="4" t="s">
        <v>127</v>
      </c>
    </row>
    <row r="41" customFormat="false" ht="15" hidden="false" customHeight="false" outlineLevel="0" collapsed="false">
      <c r="A41" s="4" t="s">
        <v>117</v>
      </c>
      <c r="B41" s="26" t="n">
        <v>5.5</v>
      </c>
      <c r="C41" s="26" t="n">
        <v>26</v>
      </c>
      <c r="D41" s="26" t="n">
        <v>48</v>
      </c>
      <c r="E41" s="4" t="s">
        <v>128</v>
      </c>
    </row>
    <row r="42" customFormat="false" ht="15" hidden="false" customHeight="false" outlineLevel="0" collapsed="false">
      <c r="A42" s="4" t="s">
        <v>119</v>
      </c>
      <c r="B42" s="26" t="n">
        <v>4</v>
      </c>
      <c r="C42" s="26" t="n">
        <v>24.9</v>
      </c>
      <c r="D42" s="26" t="n">
        <v>46.9</v>
      </c>
      <c r="E42" s="4" t="s">
        <v>129</v>
      </c>
    </row>
    <row r="43" customFormat="false" ht="15" hidden="false" customHeight="false" outlineLevel="0" collapsed="false">
      <c r="A43" s="4" t="s">
        <v>121</v>
      </c>
      <c r="B43" s="26" t="n">
        <v>3</v>
      </c>
      <c r="C43" s="26" t="n">
        <v>0</v>
      </c>
      <c r="D43" s="26" t="n">
        <v>0</v>
      </c>
      <c r="E43" s="4" t="s">
        <v>130</v>
      </c>
    </row>
    <row r="44" customFormat="false" ht="15" hidden="false" customHeight="false" outlineLevel="0" collapsed="false">
      <c r="A44" s="4" t="s">
        <v>123</v>
      </c>
      <c r="B44" s="26" t="n">
        <v>0</v>
      </c>
      <c r="C44" s="26" t="n">
        <v>17.34</v>
      </c>
      <c r="D44" s="26" t="n">
        <v>0</v>
      </c>
      <c r="E44" s="4" t="s">
        <v>131</v>
      </c>
    </row>
    <row r="46" customFormat="false" ht="15" hidden="false" customHeight="false" outlineLevel="0" collapsed="false">
      <c r="A46" s="18" t="s">
        <v>132</v>
      </c>
      <c r="B46" s="19"/>
      <c r="C46" s="19"/>
      <c r="D46" s="19"/>
      <c r="E46" s="19"/>
    </row>
    <row r="47" customFormat="false" ht="26.85" hidden="false" customHeight="false" outlineLevel="0" collapsed="false">
      <c r="A47" s="5" t="s">
        <v>111</v>
      </c>
      <c r="B47" s="5" t="s">
        <v>30</v>
      </c>
      <c r="C47" s="5" t="s">
        <v>126</v>
      </c>
      <c r="D47" s="5" t="s">
        <v>33</v>
      </c>
      <c r="E47" s="5" t="s">
        <v>133</v>
      </c>
    </row>
    <row r="48" customFormat="false" ht="15" hidden="false" customHeight="false" outlineLevel="0" collapsed="false">
      <c r="A48" s="4" t="s">
        <v>115</v>
      </c>
      <c r="B48" s="27" t="n">
        <v>0.6</v>
      </c>
      <c r="C48" s="27" t="n">
        <v>0.35</v>
      </c>
      <c r="D48" s="27" t="n">
        <v>0.05</v>
      </c>
      <c r="E48" s="12" t="n">
        <f aca="false">SUM(B48:D48)</f>
        <v>1</v>
      </c>
    </row>
    <row r="49" customFormat="false" ht="15" hidden="false" customHeight="false" outlineLevel="0" collapsed="false">
      <c r="A49" s="4" t="s">
        <v>117</v>
      </c>
      <c r="B49" s="27" t="n">
        <v>0.7</v>
      </c>
      <c r="C49" s="27" t="n">
        <v>0.3</v>
      </c>
      <c r="D49" s="27" t="n">
        <v>0</v>
      </c>
      <c r="E49" s="12" t="n">
        <f aca="false">SUM(B49:D49)</f>
        <v>1</v>
      </c>
    </row>
    <row r="50" customFormat="false" ht="15" hidden="false" customHeight="false" outlineLevel="0" collapsed="false">
      <c r="A50" s="4" t="s">
        <v>119</v>
      </c>
      <c r="B50" s="27" t="n">
        <v>0.1</v>
      </c>
      <c r="C50" s="27" t="n">
        <v>0.6</v>
      </c>
      <c r="D50" s="27" t="n">
        <v>0.3</v>
      </c>
      <c r="E50" s="12" t="n">
        <f aca="false">SUM(B50:D50)</f>
        <v>1</v>
      </c>
    </row>
    <row r="51" customFormat="false" ht="15" hidden="false" customHeight="false" outlineLevel="0" collapsed="false">
      <c r="A51" s="4" t="s">
        <v>121</v>
      </c>
      <c r="B51" s="27" t="n">
        <v>1</v>
      </c>
      <c r="C51" s="27" t="n">
        <v>0</v>
      </c>
      <c r="D51" s="27" t="n">
        <v>0</v>
      </c>
      <c r="E51" s="12" t="n">
        <f aca="false">SUM(B51:D51)</f>
        <v>1</v>
      </c>
    </row>
    <row r="52" customFormat="false" ht="15" hidden="false" customHeight="false" outlineLevel="0" collapsed="false">
      <c r="A52" s="4" t="s">
        <v>123</v>
      </c>
      <c r="B52" s="27" t="n">
        <v>0</v>
      </c>
      <c r="C52" s="27" t="n">
        <v>1</v>
      </c>
      <c r="D52" s="27" t="n">
        <v>0</v>
      </c>
      <c r="E52" s="12" t="n">
        <f aca="false">SUM(B52:D52)</f>
        <v>1</v>
      </c>
    </row>
    <row r="53" customFormat="false" ht="15" hidden="false" customHeight="false" outlineLevel="0" collapsed="false">
      <c r="A53" s="4" t="s">
        <v>134</v>
      </c>
    </row>
    <row r="55" customFormat="false" ht="15" hidden="false" customHeight="false" outlineLevel="0" collapsed="false">
      <c r="A55" s="18" t="s">
        <v>135</v>
      </c>
      <c r="B55" s="19"/>
      <c r="C55" s="19"/>
      <c r="D55" s="19"/>
    </row>
    <row r="56" customFormat="false" ht="15" hidden="false" customHeight="false" outlineLevel="0" collapsed="false">
      <c r="A56" s="5" t="s">
        <v>67</v>
      </c>
      <c r="B56" s="5" t="s">
        <v>68</v>
      </c>
      <c r="C56" s="5" t="s">
        <v>69</v>
      </c>
      <c r="D56" s="5" t="s">
        <v>70</v>
      </c>
    </row>
    <row r="57" customFormat="false" ht="15" hidden="false" customHeight="false" outlineLevel="0" collapsed="false">
      <c r="A57" s="4" t="s">
        <v>136</v>
      </c>
      <c r="B57" s="26" t="n">
        <v>600</v>
      </c>
      <c r="C57" s="4" t="s">
        <v>137</v>
      </c>
      <c r="D57" s="4" t="s">
        <v>138</v>
      </c>
    </row>
    <row r="58" customFormat="false" ht="15" hidden="false" customHeight="false" outlineLevel="0" collapsed="false">
      <c r="A58" s="4" t="s">
        <v>139</v>
      </c>
      <c r="B58" s="26" t="n">
        <v>90</v>
      </c>
      <c r="C58" s="4" t="s">
        <v>140</v>
      </c>
      <c r="D58" s="4" t="s">
        <v>141</v>
      </c>
    </row>
    <row r="59" customFormat="false" ht="15" hidden="false" customHeight="false" outlineLevel="0" collapsed="false">
      <c r="A59" s="4" t="s">
        <v>142</v>
      </c>
      <c r="B59" s="25" t="n">
        <v>0</v>
      </c>
      <c r="C59" s="4" t="s">
        <v>143</v>
      </c>
      <c r="D59" s="4" t="s">
        <v>144</v>
      </c>
    </row>
    <row r="60" customFormat="false" ht="15" hidden="false" customHeight="false" outlineLevel="0" collapsed="false">
      <c r="A60" s="4" t="s">
        <v>145</v>
      </c>
      <c r="B60" s="26" t="n">
        <v>1800</v>
      </c>
      <c r="C60" s="4" t="s">
        <v>146</v>
      </c>
      <c r="D60" s="4" t="s">
        <v>147</v>
      </c>
    </row>
    <row r="61" customFormat="false" ht="15" hidden="false" customHeight="false" outlineLevel="0" collapsed="false">
      <c r="A61" s="4" t="s">
        <v>148</v>
      </c>
      <c r="B61" s="28" t="n">
        <v>700</v>
      </c>
      <c r="C61" s="4" t="s">
        <v>149</v>
      </c>
      <c r="D61" s="4" t="s">
        <v>150</v>
      </c>
    </row>
    <row r="62" customFormat="false" ht="15" hidden="false" customHeight="false" outlineLevel="0" collapsed="false">
      <c r="A62" s="4" t="s">
        <v>151</v>
      </c>
      <c r="B62" s="28" t="n">
        <v>150</v>
      </c>
      <c r="C62" s="4" t="s">
        <v>149</v>
      </c>
      <c r="D62" s="4" t="s">
        <v>152</v>
      </c>
    </row>
    <row r="63" customFormat="false" ht="15" hidden="false" customHeight="false" outlineLevel="0" collapsed="false">
      <c r="A63" s="4" t="s">
        <v>153</v>
      </c>
      <c r="B63" s="27" t="n">
        <v>0.35</v>
      </c>
      <c r="C63" s="4" t="s">
        <v>154</v>
      </c>
      <c r="D63" s="4" t="s">
        <v>155</v>
      </c>
    </row>
    <row r="64" customFormat="false" ht="15" hidden="false" customHeight="false" outlineLevel="0" collapsed="false">
      <c r="A64" s="4" t="s">
        <v>156</v>
      </c>
      <c r="B64" s="29" t="n">
        <v>150</v>
      </c>
      <c r="C64" s="4" t="s">
        <v>149</v>
      </c>
      <c r="D64" s="4" t="s">
        <v>152</v>
      </c>
    </row>
    <row r="66" customFormat="false" ht="15" hidden="false" customHeight="false" outlineLevel="0" collapsed="false">
      <c r="A66" s="18" t="s">
        <v>157</v>
      </c>
      <c r="B66" s="19"/>
      <c r="C66" s="19"/>
      <c r="D66" s="19"/>
    </row>
    <row r="67" customFormat="false" ht="15" hidden="false" customHeight="false" outlineLevel="0" collapsed="false">
      <c r="A67" s="5" t="s">
        <v>67</v>
      </c>
      <c r="B67" s="5" t="s">
        <v>137</v>
      </c>
      <c r="C67" s="5"/>
      <c r="D67" s="5" t="s">
        <v>70</v>
      </c>
    </row>
    <row r="68" customFormat="false" ht="15" hidden="false" customHeight="false" outlineLevel="0" collapsed="false">
      <c r="A68" s="4" t="s">
        <v>158</v>
      </c>
      <c r="B68" s="26" t="n">
        <v>760</v>
      </c>
      <c r="D68" s="4" t="s">
        <v>159</v>
      </c>
    </row>
    <row r="69" customFormat="false" ht="15" hidden="false" customHeight="false" outlineLevel="0" collapsed="false">
      <c r="A69" s="4" t="s">
        <v>160</v>
      </c>
      <c r="B69" s="26" t="n">
        <v>709</v>
      </c>
      <c r="D69" s="4" t="s">
        <v>161</v>
      </c>
    </row>
    <row r="70" customFormat="false" ht="15" hidden="false" customHeight="false" outlineLevel="0" collapsed="false">
      <c r="A70" s="4" t="s">
        <v>162</v>
      </c>
      <c r="B70" s="26" t="n">
        <v>900</v>
      </c>
      <c r="D70" s="4" t="s">
        <v>163</v>
      </c>
    </row>
    <row r="71" customFormat="false" ht="15" hidden="false" customHeight="false" outlineLevel="0" collapsed="false">
      <c r="A71" s="4" t="s">
        <v>164</v>
      </c>
      <c r="B71" s="6" t="n">
        <f aca="false">Inversion!B37/36</f>
        <v>134.388888888889</v>
      </c>
      <c r="D71" s="4" t="s">
        <v>165</v>
      </c>
    </row>
    <row r="72" customFormat="false" ht="15" hidden="false" customHeight="false" outlineLevel="0" collapsed="false">
      <c r="A72" s="10" t="s">
        <v>166</v>
      </c>
      <c r="B72" s="30" t="n">
        <f aca="false">SUM(B68:B71)</f>
        <v>2503.38888888889</v>
      </c>
    </row>
    <row r="74" customFormat="false" ht="15" hidden="false" customHeight="false" outlineLevel="0" collapsed="false">
      <c r="A74" s="18" t="s">
        <v>167</v>
      </c>
      <c r="B74" s="19"/>
      <c r="C74" s="19"/>
      <c r="D74" s="19"/>
    </row>
    <row r="75" customFormat="false" ht="26.85" hidden="false" customHeight="false" outlineLevel="0" collapsed="false">
      <c r="A75" s="5" t="s">
        <v>168</v>
      </c>
      <c r="B75" s="5" t="s">
        <v>154</v>
      </c>
      <c r="C75" s="5"/>
      <c r="D75" s="5" t="s">
        <v>114</v>
      </c>
    </row>
    <row r="76" customFormat="false" ht="15" hidden="false" customHeight="false" outlineLevel="0" collapsed="false">
      <c r="A76" s="4" t="s">
        <v>169</v>
      </c>
      <c r="B76" s="22" t="n">
        <v>0.4</v>
      </c>
      <c r="D76" s="4" t="s">
        <v>170</v>
      </c>
    </row>
    <row r="77" customFormat="false" ht="15" hidden="false" customHeight="false" outlineLevel="0" collapsed="false">
      <c r="A77" s="4" t="s">
        <v>171</v>
      </c>
      <c r="B77" s="22" t="n">
        <v>0.35</v>
      </c>
      <c r="D77" s="4"/>
    </row>
    <row r="78" customFormat="false" ht="15" hidden="false" customHeight="false" outlineLevel="0" collapsed="false">
      <c r="A78" s="4" t="s">
        <v>172</v>
      </c>
      <c r="B78" s="22" t="n">
        <v>0.25</v>
      </c>
      <c r="D78" s="4"/>
    </row>
    <row r="79" customFormat="false" ht="15" hidden="false" customHeight="false" outlineLevel="0" collapsed="false">
      <c r="A79" s="10" t="s">
        <v>173</v>
      </c>
      <c r="B79" s="12" t="n">
        <f aca="false">SUM(B76:B78)</f>
        <v>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5" min="2" style="0" width="24"/>
  </cols>
  <sheetData>
    <row r="1" customFormat="false" ht="17.35" hidden="false" customHeight="false" outlineLevel="0" collapsed="false">
      <c r="A1" s="1" t="s">
        <v>174</v>
      </c>
    </row>
    <row r="2" customFormat="false" ht="15" hidden="false" customHeight="false" outlineLevel="0" collapsed="false">
      <c r="A2" s="4" t="s">
        <v>175</v>
      </c>
    </row>
    <row r="4" customFormat="false" ht="42" hidden="false" customHeight="true" outlineLevel="0" collapsed="false">
      <c r="A4" s="5" t="s">
        <v>67</v>
      </c>
      <c r="B4" s="5" t="s">
        <v>30</v>
      </c>
      <c r="C4" s="5" t="s">
        <v>31</v>
      </c>
      <c r="D4" s="5" t="s">
        <v>32</v>
      </c>
      <c r="E4" s="5" t="s">
        <v>176</v>
      </c>
    </row>
    <row r="5" customFormat="false" ht="15" hidden="false" customHeight="false" outlineLevel="0" collapsed="false">
      <c r="A5" s="4" t="s">
        <v>177</v>
      </c>
      <c r="B5" s="25" t="n">
        <v>1</v>
      </c>
      <c r="C5" s="25" t="n">
        <v>6</v>
      </c>
      <c r="D5" s="25" t="n">
        <v>6</v>
      </c>
      <c r="E5" s="25" t="n">
        <v>12</v>
      </c>
    </row>
    <row r="6" customFormat="false" ht="15" hidden="false" customHeight="false" outlineLevel="0" collapsed="false">
      <c r="A6" s="4" t="s">
        <v>178</v>
      </c>
      <c r="B6" s="6" t="n">
        <f aca="false">B5*Supuestos!$B$6</f>
        <v>0.4</v>
      </c>
      <c r="C6" s="6" t="n">
        <f aca="false">C5*Supuestos!$B$6</f>
        <v>2.4</v>
      </c>
      <c r="D6" s="6" t="n">
        <f aca="false">D5*Supuestos!$B$6</f>
        <v>2.4</v>
      </c>
      <c r="E6" s="6" t="n">
        <f aca="false">E5*Supuestos!$B$6</f>
        <v>4.8</v>
      </c>
    </row>
    <row r="7" customFormat="false" ht="15" hidden="false" customHeight="false" outlineLevel="0" collapsed="false">
      <c r="A7" s="4" t="s">
        <v>179</v>
      </c>
      <c r="B7" s="6" t="n">
        <f aca="false">B5*Supuestos!$B$7</f>
        <v>0.45</v>
      </c>
      <c r="C7" s="6" t="n">
        <f aca="false">C5*Supuestos!$B$7</f>
        <v>2.7</v>
      </c>
      <c r="D7" s="6" t="n">
        <f aca="false">D5*(Supuestos!$B$7-Supuestos!$B$8)</f>
        <v>2.7</v>
      </c>
      <c r="E7" s="6" t="n">
        <f aca="false">E5*Supuestos!$B$7</f>
        <v>5.4</v>
      </c>
    </row>
    <row r="8" customFormat="false" ht="15" hidden="false" customHeight="false" outlineLevel="0" collapsed="false">
      <c r="A8" s="4" t="s">
        <v>180</v>
      </c>
      <c r="B8" s="6" t="n">
        <f aca="false">B5*Supuestos!$B$9</f>
        <v>0.09</v>
      </c>
      <c r="C8" s="6" t="n">
        <f aca="false">C5*Supuestos!$B$9</f>
        <v>0.54</v>
      </c>
      <c r="D8" s="13" t="n">
        <v>0</v>
      </c>
      <c r="E8" s="6" t="n">
        <f aca="false">E5*Supuestos!$B$9</f>
        <v>1.08</v>
      </c>
    </row>
    <row r="9" customFormat="false" ht="15" hidden="false" customHeight="false" outlineLevel="0" collapsed="false">
      <c r="A9" s="4" t="s">
        <v>181</v>
      </c>
      <c r="B9" s="6" t="n">
        <f aca="false">Supuestos!$B$10</f>
        <v>0.25</v>
      </c>
      <c r="C9" s="13" t="n">
        <v>0</v>
      </c>
      <c r="D9" s="13" t="n">
        <v>0</v>
      </c>
      <c r="E9" s="13" t="n">
        <v>0</v>
      </c>
    </row>
    <row r="10" customFormat="false" ht="15" hidden="false" customHeight="false" outlineLevel="0" collapsed="false">
      <c r="A10" s="4" t="s">
        <v>182</v>
      </c>
      <c r="B10" s="13" t="n">
        <v>0</v>
      </c>
      <c r="C10" s="13" t="n">
        <v>0</v>
      </c>
      <c r="D10" s="6" t="n">
        <f aca="false">D5*Supuestos!$B$11</f>
        <v>0.06</v>
      </c>
      <c r="E10" s="13" t="n">
        <v>0</v>
      </c>
    </row>
    <row r="11" customFormat="false" ht="15" hidden="false" customHeight="false" outlineLevel="0" collapsed="false">
      <c r="A11" s="4" t="s">
        <v>183</v>
      </c>
      <c r="B11" s="13" t="n">
        <v>0</v>
      </c>
      <c r="C11" s="6" t="n">
        <f aca="false">Supuestos!$B$19</f>
        <v>0.53</v>
      </c>
      <c r="D11" s="6" t="n">
        <f aca="false">Supuestos!$B$19</f>
        <v>0.53</v>
      </c>
      <c r="E11" s="6" t="n">
        <f aca="false">Supuestos!$B$21</f>
        <v>0.7</v>
      </c>
    </row>
    <row r="12" customFormat="false" ht="15" hidden="false" customHeight="false" outlineLevel="0" collapsed="false">
      <c r="A12" s="4" t="s">
        <v>184</v>
      </c>
      <c r="B12" s="13" t="n">
        <v>0</v>
      </c>
      <c r="C12" s="6" t="n">
        <f aca="false">Supuestos!$B$20</f>
        <v>0.72</v>
      </c>
      <c r="D12" s="6" t="n">
        <f aca="false">Supuestos!$B$20</f>
        <v>0.72</v>
      </c>
      <c r="E12" s="6" t="n">
        <f aca="false">Supuestos!$B$22</f>
        <v>0.72</v>
      </c>
    </row>
    <row r="13" customFormat="false" ht="15" hidden="false" customHeight="false" outlineLevel="0" collapsed="false">
      <c r="A13" s="4" t="s">
        <v>185</v>
      </c>
      <c r="B13" s="13" t="n">
        <f aca="false">Supuestos!$B$15*SUM(B6:B12)</f>
        <v>0.0595</v>
      </c>
      <c r="C13" s="13" t="n">
        <f aca="false">Supuestos!$B$15*SUM(C6:C12)</f>
        <v>0.3445</v>
      </c>
      <c r="D13" s="13" t="n">
        <f aca="false">Supuestos!$B$15*SUM(D6:D12)</f>
        <v>0.3205</v>
      </c>
      <c r="E13" s="13" t="n">
        <f aca="false">Supuestos!$B$15*SUM(E6:E12)</f>
        <v>0.635</v>
      </c>
    </row>
    <row r="14" customFormat="false" ht="15" hidden="false" customHeight="false" outlineLevel="0" collapsed="false">
      <c r="A14" s="4" t="s">
        <v>186</v>
      </c>
      <c r="B14" s="13" t="n">
        <f aca="false">B5*(Supuestos!$B$12+Supuestos!$B$13+Supuestos!$B$14)</f>
        <v>0.176</v>
      </c>
      <c r="C14" s="13" t="n">
        <f aca="false">C5*(Supuestos!$B$12+Supuestos!$B$13+Supuestos!$B$14)</f>
        <v>1.056</v>
      </c>
      <c r="D14" s="13" t="n">
        <f aca="false">D5*(Supuestos!$B$12+Supuestos!$B$13+Supuestos!$B$14)</f>
        <v>1.056</v>
      </c>
      <c r="E14" s="13" t="n">
        <f aca="false">E5*(Supuestos!$B$12+Supuestos!$B$13+Supuestos!$B$14)</f>
        <v>2.112</v>
      </c>
    </row>
    <row r="15" customFormat="false" ht="15" hidden="false" customHeight="false" outlineLevel="0" collapsed="false">
      <c r="A15" s="10" t="s">
        <v>187</v>
      </c>
      <c r="B15" s="30" t="n">
        <f aca="false">SUM(B6:B14)</f>
        <v>1.4255</v>
      </c>
      <c r="C15" s="30" t="n">
        <f aca="false">SUM(C6:C14)</f>
        <v>8.2905</v>
      </c>
      <c r="D15" s="30" t="n">
        <f aca="false">SUM(D6:D14)</f>
        <v>7.7865</v>
      </c>
      <c r="E15" s="30" t="n">
        <f aca="false">SUM(E6:E14)</f>
        <v>15.447</v>
      </c>
    </row>
    <row r="16" customFormat="false" ht="15" hidden="false" customHeight="false" outlineLevel="0" collapsed="false">
      <c r="A16" s="10" t="s">
        <v>188</v>
      </c>
      <c r="B16" s="30" t="n">
        <f aca="false">IF(B5=0,0,B15/B5)</f>
        <v>1.4255</v>
      </c>
      <c r="C16" s="30" t="n">
        <f aca="false">IF(C5=0,0,C15/C5)</f>
        <v>1.38175</v>
      </c>
      <c r="D16" s="30" t="n">
        <f aca="false">IF(D5=0,0,D15/D5)</f>
        <v>1.29775</v>
      </c>
      <c r="E16" s="30" t="n">
        <f aca="false">IF(E5=0,0,E15/E5)</f>
        <v>1.28725</v>
      </c>
    </row>
    <row r="18" customFormat="false" ht="15" hidden="false" customHeight="false" outlineLevel="0" collapsed="false">
      <c r="A18" s="10" t="s">
        <v>189</v>
      </c>
    </row>
    <row r="19" customFormat="false" ht="15" hidden="false" customHeight="false" outlineLevel="0" collapsed="false">
      <c r="A19" s="4" t="s">
        <v>190</v>
      </c>
      <c r="B19" s="6" t="n">
        <f aca="false">Supuestos!B40</f>
        <v>5.5</v>
      </c>
      <c r="C19" s="6" t="n">
        <f aca="false">Supuestos!C40</f>
        <v>26</v>
      </c>
      <c r="D19" s="6" t="n">
        <f aca="false">Supuestos!C40</f>
        <v>26</v>
      </c>
      <c r="E19" s="6" t="n">
        <f aca="false">Supuestos!D40</f>
        <v>48</v>
      </c>
    </row>
    <row r="20" customFormat="false" ht="15" hidden="false" customHeight="false" outlineLevel="0" collapsed="false">
      <c r="A20" s="4" t="s">
        <v>191</v>
      </c>
      <c r="B20" s="13" t="n">
        <f aca="false">B19/(1+Supuestos!$B$26)</f>
        <v>4.66101694915254</v>
      </c>
      <c r="C20" s="13" t="n">
        <f aca="false">C19/(1+Supuestos!$B$26)</f>
        <v>22.0338983050847</v>
      </c>
      <c r="D20" s="13" t="n">
        <f aca="false">D19/(1+Supuestos!$B$26)</f>
        <v>22.0338983050847</v>
      </c>
      <c r="E20" s="13" t="n">
        <f aca="false">E19/(1+Supuestos!$B$26)</f>
        <v>40.6779661016949</v>
      </c>
    </row>
    <row r="21" customFormat="false" ht="15" hidden="false" customHeight="false" outlineLevel="0" collapsed="false">
      <c r="A21" s="4" t="s">
        <v>192</v>
      </c>
      <c r="B21" s="13" t="n">
        <f aca="false">B20-B15</f>
        <v>3.23551694915254</v>
      </c>
      <c r="C21" s="13" t="n">
        <f aca="false">C20-C15</f>
        <v>13.7433983050847</v>
      </c>
      <c r="D21" s="13" t="n">
        <f aca="false">D20-D15</f>
        <v>14.2473983050847</v>
      </c>
      <c r="E21" s="13" t="n">
        <f aca="false">E20-E15</f>
        <v>25.2309661016949</v>
      </c>
    </row>
    <row r="22" customFormat="false" ht="15" hidden="false" customHeight="false" outlineLevel="0" collapsed="false">
      <c r="A22" s="4" t="s">
        <v>193</v>
      </c>
      <c r="B22" s="12" t="n">
        <f aca="false">IF(B20=0,0,B21/B20)</f>
        <v>0.694165454545455</v>
      </c>
      <c r="C22" s="12" t="n">
        <f aca="false">IF(C20=0,0,C21/C20)</f>
        <v>0.623738846153846</v>
      </c>
      <c r="D22" s="12" t="n">
        <f aca="false">IF(D20=0,0,D21/D20)</f>
        <v>0.646612692307692</v>
      </c>
      <c r="E22" s="12" t="n">
        <f aca="false">IF(E20=0,0,E21/E20)</f>
        <v>0.62026125</v>
      </c>
    </row>
    <row r="24" customFormat="false" ht="15" hidden="false" customHeight="false" outlineLevel="0" collapsed="false">
      <c r="A24" s="10" t="s">
        <v>194</v>
      </c>
    </row>
    <row r="25" customFormat="false" ht="15" hidden="false" customHeight="false" outlineLevel="0" collapsed="false">
      <c r="A25" s="4" t="s">
        <v>190</v>
      </c>
      <c r="B25" s="6" t="n">
        <f aca="false">Supuestos!B42</f>
        <v>4</v>
      </c>
      <c r="C25" s="6" t="n">
        <f aca="false">Supuestos!C42</f>
        <v>24.9</v>
      </c>
      <c r="D25" s="6" t="n">
        <f aca="false">Supuestos!C42</f>
        <v>24.9</v>
      </c>
      <c r="E25" s="6" t="n">
        <f aca="false">Supuestos!D42</f>
        <v>46.9</v>
      </c>
    </row>
    <row r="26" customFormat="false" ht="15" hidden="false" customHeight="false" outlineLevel="0" collapsed="false">
      <c r="A26" s="4" t="s">
        <v>191</v>
      </c>
      <c r="B26" s="13" t="n">
        <f aca="false">B25/(1+Supuestos!$B$26)</f>
        <v>3.38983050847458</v>
      </c>
      <c r="C26" s="13" t="n">
        <f aca="false">C25/(1+Supuestos!$B$26)</f>
        <v>21.1016949152542</v>
      </c>
      <c r="D26" s="13" t="n">
        <f aca="false">D25/(1+Supuestos!$B$26)</f>
        <v>21.1016949152542</v>
      </c>
      <c r="E26" s="13" t="n">
        <f aca="false">E25/(1+Supuestos!$B$26)</f>
        <v>39.7457627118644</v>
      </c>
    </row>
    <row r="27" customFormat="false" ht="15" hidden="false" customHeight="false" outlineLevel="0" collapsed="false">
      <c r="A27" s="4" t="s">
        <v>192</v>
      </c>
      <c r="B27" s="13" t="n">
        <f aca="false">B26-B15</f>
        <v>1.96433050847458</v>
      </c>
      <c r="C27" s="13" t="n">
        <f aca="false">C26-C15</f>
        <v>12.8111949152542</v>
      </c>
      <c r="D27" s="13" t="n">
        <f aca="false">D26-D15</f>
        <v>13.3151949152542</v>
      </c>
      <c r="E27" s="13" t="n">
        <f aca="false">E26-E15</f>
        <v>24.2987627118644</v>
      </c>
    </row>
    <row r="28" customFormat="false" ht="15" hidden="false" customHeight="false" outlineLevel="0" collapsed="false">
      <c r="A28" s="4" t="s">
        <v>193</v>
      </c>
      <c r="B28" s="12" t="n">
        <f aca="false">IF(B26=0,0,B27/B26)</f>
        <v>0.5794775</v>
      </c>
      <c r="C28" s="12" t="n">
        <f aca="false">IF(C26=0,0,C27/C26)</f>
        <v>0.60711686746988</v>
      </c>
      <c r="D28" s="12" t="n">
        <f aca="false">IF(D26=0,0,D27/D26)</f>
        <v>0.631001204819277</v>
      </c>
      <c r="E28" s="12" t="n">
        <f aca="false">IF(E26=0,0,E27/E26)</f>
        <v>0.611354797441365</v>
      </c>
    </row>
    <row r="30" customFormat="false" ht="15" hidden="false" customHeight="false" outlineLevel="0" collapsed="false">
      <c r="A30" s="4" t="s">
        <v>195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19" min="3" style="0" width="15"/>
  </cols>
  <sheetData>
    <row r="1" customFormat="false" ht="17.35" hidden="false" customHeight="false" outlineLevel="0" collapsed="false">
      <c r="A1" s="1" t="s">
        <v>196</v>
      </c>
    </row>
    <row r="2" customFormat="false" ht="15" hidden="false" customHeight="false" outlineLevel="0" collapsed="false">
      <c r="A2" s="4" t="s">
        <v>197</v>
      </c>
    </row>
    <row r="4" customFormat="false" ht="57.75" hidden="false" customHeight="true" outlineLevel="0" collapsed="false">
      <c r="A4" s="5" t="s">
        <v>111</v>
      </c>
      <c r="B4" s="5" t="s">
        <v>23</v>
      </c>
      <c r="C4" s="5" t="s">
        <v>198</v>
      </c>
      <c r="D4" s="5" t="s">
        <v>199</v>
      </c>
      <c r="E4" s="5" t="s">
        <v>200</v>
      </c>
      <c r="F4" s="5" t="s">
        <v>37</v>
      </c>
      <c r="G4" s="5" t="s">
        <v>201</v>
      </c>
      <c r="H4" s="5" t="s">
        <v>202</v>
      </c>
      <c r="I4" s="5" t="s">
        <v>203</v>
      </c>
      <c r="J4" s="5" t="s">
        <v>204</v>
      </c>
      <c r="K4" s="5" t="s">
        <v>205</v>
      </c>
      <c r="L4" s="5" t="s">
        <v>206</v>
      </c>
      <c r="M4" s="5" t="s">
        <v>207</v>
      </c>
      <c r="N4" s="5" t="s">
        <v>208</v>
      </c>
      <c r="O4" s="5" t="s">
        <v>209</v>
      </c>
      <c r="P4" s="5" t="s">
        <v>210</v>
      </c>
      <c r="Q4" s="5" t="s">
        <v>211</v>
      </c>
      <c r="R4" s="5" t="s">
        <v>212</v>
      </c>
      <c r="S4" s="5" t="s">
        <v>213</v>
      </c>
    </row>
    <row r="5" customFormat="false" ht="15" hidden="false" customHeight="false" outlineLevel="0" collapsed="false">
      <c r="A5" s="4" t="s">
        <v>115</v>
      </c>
      <c r="B5" s="4" t="s">
        <v>30</v>
      </c>
      <c r="C5" s="17" t="n">
        <f aca="false">Costeo!B5</f>
        <v>1</v>
      </c>
      <c r="D5" s="8" t="n">
        <f aca="false">Mensual!$N$14</f>
        <v>22625</v>
      </c>
      <c r="E5" s="7" t="n">
        <f aca="false">Supuestos!B48</f>
        <v>0.6</v>
      </c>
      <c r="F5" s="15" t="n">
        <f aca="false">D5*E5</f>
        <v>13575</v>
      </c>
      <c r="G5" s="15" t="n">
        <f aca="false">IF(C5=0,0,F5/C5)</f>
        <v>13575</v>
      </c>
      <c r="H5" s="6" t="n">
        <f aca="false">Supuestos!B40</f>
        <v>5.5</v>
      </c>
      <c r="I5" s="16" t="n">
        <f aca="false">G5*H5</f>
        <v>74662.5</v>
      </c>
      <c r="J5" s="16" t="n">
        <f aca="false">I5/(1+Supuestos!$B$26)</f>
        <v>63273.3050847458</v>
      </c>
      <c r="K5" s="6" t="n">
        <f aca="false">Costeo!B15</f>
        <v>1.4255</v>
      </c>
      <c r="L5" s="6" t="n">
        <f aca="false">Costeo!B15</f>
        <v>1.4255</v>
      </c>
      <c r="M5" s="13" t="n">
        <f aca="false">IF(H5=0,0,C5*Supuestos!$B$32+H5*Supuestos!$B$27*Supuestos!$C$32+H5/(1+Supuestos!$B$26)*Supuestos!$B$28)</f>
        <v>0.481610169491525</v>
      </c>
      <c r="N5" s="13" t="n">
        <f aca="false">IF(H5=0,0,H5/(1+Supuestos!$B$26)-K5-M5)</f>
        <v>2.75390677966102</v>
      </c>
      <c r="O5" s="13" t="n">
        <f aca="false">IF(H5=0,0,H5/(1+Supuestos!$B$26)-L5-M5)</f>
        <v>2.75390677966102</v>
      </c>
      <c r="P5" s="16" t="n">
        <f aca="false">G5*N5</f>
        <v>37384.2845338983</v>
      </c>
      <c r="Q5" s="16" t="n">
        <f aca="false">G5*O5</f>
        <v>37384.2845338983</v>
      </c>
      <c r="R5" s="12" t="n">
        <f aca="false">IF(H5=0,0,N5/(H5/(1+Supuestos!$B$26)))</f>
        <v>0.590838181818182</v>
      </c>
      <c r="S5" s="12" t="n">
        <f aca="false">IF(H5=0,0,O5/(H5/(1+Supuestos!$B$26)))</f>
        <v>0.590838181818182</v>
      </c>
    </row>
    <row r="6" customFormat="false" ht="15" hidden="false" customHeight="false" outlineLevel="0" collapsed="false">
      <c r="A6" s="4" t="s">
        <v>115</v>
      </c>
      <c r="B6" s="4" t="s">
        <v>126</v>
      </c>
      <c r="C6" s="17" t="n">
        <f aca="false">Costeo!C5</f>
        <v>6</v>
      </c>
      <c r="D6" s="8" t="n">
        <f aca="false">Mensual!$N$14</f>
        <v>22625</v>
      </c>
      <c r="E6" s="7" t="n">
        <f aca="false">Supuestos!C48</f>
        <v>0.35</v>
      </c>
      <c r="F6" s="15" t="n">
        <f aca="false">D6*E6</f>
        <v>7918.75</v>
      </c>
      <c r="G6" s="15" t="n">
        <f aca="false">IF(C6=0,0,F6/C6)</f>
        <v>1319.79166666667</v>
      </c>
      <c r="H6" s="6" t="n">
        <f aca="false">Supuestos!C40</f>
        <v>26</v>
      </c>
      <c r="I6" s="16" t="n">
        <f aca="false">G6*H6</f>
        <v>34314.5833333333</v>
      </c>
      <c r="J6" s="16" t="n">
        <f aca="false">I6/(1+Supuestos!$B$26)</f>
        <v>29080.1553672316</v>
      </c>
      <c r="K6" s="6" t="n">
        <f aca="false">Costeo!C15</f>
        <v>8.2905</v>
      </c>
      <c r="L6" s="6" t="n">
        <f aca="false">Costeo!D15</f>
        <v>7.7865</v>
      </c>
      <c r="M6" s="13" t="n">
        <f aca="false">IF(H6=0,0,C6*Supuestos!$B$32+H6*Supuestos!$B$27*Supuestos!$C$32+H6/(1+Supuestos!$B$26)*Supuestos!$B$28)</f>
        <v>2.62033898305085</v>
      </c>
      <c r="N6" s="13" t="n">
        <f aca="false">IF(H6=0,0,H6/(1+Supuestos!$B$26)-K6-M6)</f>
        <v>11.1230593220339</v>
      </c>
      <c r="O6" s="13" t="n">
        <f aca="false">IF(H6=0,0,H6/(1+Supuestos!$B$26)-L6-M6)</f>
        <v>11.6270593220339</v>
      </c>
      <c r="P6" s="16" t="n">
        <f aca="false">G6*N6</f>
        <v>14680.1210010593</v>
      </c>
      <c r="Q6" s="16" t="n">
        <f aca="false">G6*O6</f>
        <v>15345.2960010593</v>
      </c>
      <c r="R6" s="12" t="n">
        <f aca="false">IF(H6=0,0,N6/(H6/(1+Supuestos!$B$26)))</f>
        <v>0.504815769230769</v>
      </c>
      <c r="S6" s="12" t="n">
        <f aca="false">IF(H6=0,0,O6/(H6/(1+Supuestos!$B$26)))</f>
        <v>0.527689615384615</v>
      </c>
    </row>
    <row r="7" customFormat="false" ht="15" hidden="false" customHeight="false" outlineLevel="0" collapsed="false">
      <c r="A7" s="4" t="s">
        <v>115</v>
      </c>
      <c r="B7" s="4" t="s">
        <v>33</v>
      </c>
      <c r="C7" s="17" t="n">
        <f aca="false">Costeo!E5</f>
        <v>12</v>
      </c>
      <c r="D7" s="8" t="n">
        <f aca="false">Mensual!$N$14</f>
        <v>22625</v>
      </c>
      <c r="E7" s="7" t="n">
        <f aca="false">Supuestos!D48</f>
        <v>0.05</v>
      </c>
      <c r="F7" s="15" t="n">
        <f aca="false">D7*E7</f>
        <v>1131.25</v>
      </c>
      <c r="G7" s="15" t="n">
        <f aca="false">IF(C7=0,0,F7/C7)</f>
        <v>94.2708333333333</v>
      </c>
      <c r="H7" s="6" t="n">
        <f aca="false">Supuestos!D40</f>
        <v>48</v>
      </c>
      <c r="I7" s="16" t="n">
        <f aca="false">G7*H7</f>
        <v>4525</v>
      </c>
      <c r="J7" s="16" t="n">
        <f aca="false">I7/(1+Supuestos!$B$26)</f>
        <v>3834.74576271186</v>
      </c>
      <c r="K7" s="6" t="n">
        <f aca="false">Costeo!E15</f>
        <v>15.447</v>
      </c>
      <c r="L7" s="6" t="n">
        <f aca="false">Costeo!E15</f>
        <v>15.447</v>
      </c>
      <c r="M7" s="13" t="n">
        <f aca="false">IF(H7=0,0,C7*Supuestos!$B$32+H7*Supuestos!$B$27*Supuestos!$C$32+H7/(1+Supuestos!$B$26)*Supuestos!$B$28)</f>
        <v>5.08677966101695</v>
      </c>
      <c r="N7" s="13" t="n">
        <f aca="false">IF(H7=0,0,H7/(1+Supuestos!$B$26)-K7-M7)</f>
        <v>20.144186440678</v>
      </c>
      <c r="O7" s="13" t="n">
        <f aca="false">IF(H7=0,0,H7/(1+Supuestos!$B$26)-L7-M7)</f>
        <v>20.144186440678</v>
      </c>
      <c r="P7" s="16" t="n">
        <f aca="false">G7*N7</f>
        <v>1899.00924258475</v>
      </c>
      <c r="Q7" s="16" t="n">
        <f aca="false">G7*O7</f>
        <v>1899.00924258475</v>
      </c>
      <c r="R7" s="12" t="n">
        <f aca="false">IF(H7=0,0,N7/(H7/(1+Supuestos!$B$26)))</f>
        <v>0.49521125</v>
      </c>
      <c r="S7" s="12" t="n">
        <f aca="false">IF(H7=0,0,O7/(H7/(1+Supuestos!$B$26)))</f>
        <v>0.49521125</v>
      </c>
    </row>
    <row r="8" customFormat="false" ht="15" hidden="false" customHeight="false" outlineLevel="0" collapsed="false">
      <c r="A8" s="4" t="s">
        <v>117</v>
      </c>
      <c r="B8" s="4" t="s">
        <v>30</v>
      </c>
      <c r="C8" s="17" t="n">
        <f aca="false">Costeo!B5</f>
        <v>1</v>
      </c>
      <c r="D8" s="8" t="n">
        <f aca="false">Mensual!$N$15</f>
        <v>8100</v>
      </c>
      <c r="E8" s="7" t="n">
        <f aca="false">Supuestos!B49</f>
        <v>0.7</v>
      </c>
      <c r="F8" s="15" t="n">
        <f aca="false">D8*E8</f>
        <v>5670</v>
      </c>
      <c r="G8" s="15" t="n">
        <f aca="false">IF(C8=0,0,F8/C8)</f>
        <v>5670</v>
      </c>
      <c r="H8" s="6" t="n">
        <f aca="false">Supuestos!B41</f>
        <v>5.5</v>
      </c>
      <c r="I8" s="16" t="n">
        <f aca="false">G8*H8</f>
        <v>31185</v>
      </c>
      <c r="J8" s="16" t="n">
        <f aca="false">I8/(1+Supuestos!$B$26)</f>
        <v>26427.9661016949</v>
      </c>
      <c r="K8" s="6" t="n">
        <f aca="false">Costeo!B15</f>
        <v>1.4255</v>
      </c>
      <c r="L8" s="6" t="n">
        <f aca="false">Costeo!B15</f>
        <v>1.4255</v>
      </c>
      <c r="M8" s="13" t="n">
        <f aca="false">IF(H8=0,0,C8*Supuestos!$B$33+H8*Supuestos!$B$27*Supuestos!$C$33+H8/(1+Supuestos!$B$26)*Supuestos!$B$28)</f>
        <v>0.481610169491525</v>
      </c>
      <c r="N8" s="13" t="n">
        <f aca="false">IF(H8=0,0,H8/(1+Supuestos!$B$26)-K8-M8)</f>
        <v>2.75390677966102</v>
      </c>
      <c r="O8" s="13" t="n">
        <f aca="false">IF(H8=0,0,H8/(1+Supuestos!$B$26)-L8-M8)</f>
        <v>2.75390677966102</v>
      </c>
      <c r="P8" s="16" t="n">
        <f aca="false">G8*N8</f>
        <v>15614.651440678</v>
      </c>
      <c r="Q8" s="16" t="n">
        <f aca="false">G8*O8</f>
        <v>15614.651440678</v>
      </c>
      <c r="R8" s="12" t="n">
        <f aca="false">IF(H8=0,0,N8/(H8/(1+Supuestos!$B$26)))</f>
        <v>0.590838181818182</v>
      </c>
      <c r="S8" s="12" t="n">
        <f aca="false">IF(H8=0,0,O8/(H8/(1+Supuestos!$B$26)))</f>
        <v>0.590838181818182</v>
      </c>
    </row>
    <row r="9" customFormat="false" ht="15" hidden="false" customHeight="false" outlineLevel="0" collapsed="false">
      <c r="A9" s="4" t="s">
        <v>117</v>
      </c>
      <c r="B9" s="4" t="s">
        <v>126</v>
      </c>
      <c r="C9" s="17" t="n">
        <f aca="false">Costeo!C5</f>
        <v>6</v>
      </c>
      <c r="D9" s="8" t="n">
        <f aca="false">Mensual!$N$15</f>
        <v>8100</v>
      </c>
      <c r="E9" s="7" t="n">
        <f aca="false">Supuestos!C49</f>
        <v>0.3</v>
      </c>
      <c r="F9" s="15" t="n">
        <f aca="false">D9*E9</f>
        <v>2430</v>
      </c>
      <c r="G9" s="15" t="n">
        <f aca="false">IF(C9=0,0,F9/C9)</f>
        <v>405</v>
      </c>
      <c r="H9" s="6" t="n">
        <f aca="false">Supuestos!C41</f>
        <v>26</v>
      </c>
      <c r="I9" s="16" t="n">
        <f aca="false">G9*H9</f>
        <v>10530</v>
      </c>
      <c r="J9" s="16" t="n">
        <f aca="false">I9/(1+Supuestos!$B$26)</f>
        <v>8923.72881355932</v>
      </c>
      <c r="K9" s="6" t="n">
        <f aca="false">Costeo!C15</f>
        <v>8.2905</v>
      </c>
      <c r="L9" s="6" t="n">
        <f aca="false">Costeo!D15</f>
        <v>7.7865</v>
      </c>
      <c r="M9" s="13" t="n">
        <f aca="false">IF(H9=0,0,C9*Supuestos!$B$33+H9*Supuestos!$B$27*Supuestos!$C$33+H9/(1+Supuestos!$B$26)*Supuestos!$B$28)</f>
        <v>2.62033898305085</v>
      </c>
      <c r="N9" s="13" t="n">
        <f aca="false">IF(H9=0,0,H9/(1+Supuestos!$B$26)-K9-M9)</f>
        <v>11.1230593220339</v>
      </c>
      <c r="O9" s="13" t="n">
        <f aca="false">IF(H9=0,0,H9/(1+Supuestos!$B$26)-L9-M9)</f>
        <v>11.6270593220339</v>
      </c>
      <c r="P9" s="16" t="n">
        <f aca="false">G9*N9</f>
        <v>4504.83902542373</v>
      </c>
      <c r="Q9" s="16" t="n">
        <f aca="false">G9*O9</f>
        <v>4708.95902542373</v>
      </c>
      <c r="R9" s="12" t="n">
        <f aca="false">IF(H9=0,0,N9/(H9/(1+Supuestos!$B$26)))</f>
        <v>0.504815769230769</v>
      </c>
      <c r="S9" s="12" t="n">
        <f aca="false">IF(H9=0,0,O9/(H9/(1+Supuestos!$B$26)))</f>
        <v>0.527689615384615</v>
      </c>
    </row>
    <row r="10" customFormat="false" ht="15" hidden="false" customHeight="false" outlineLevel="0" collapsed="false">
      <c r="A10" s="4" t="s">
        <v>117</v>
      </c>
      <c r="B10" s="4" t="s">
        <v>33</v>
      </c>
      <c r="C10" s="17" t="n">
        <f aca="false">Costeo!E5</f>
        <v>12</v>
      </c>
      <c r="D10" s="8" t="n">
        <f aca="false">Mensual!$N$15</f>
        <v>8100</v>
      </c>
      <c r="E10" s="7" t="n">
        <f aca="false">Supuestos!D49</f>
        <v>0</v>
      </c>
      <c r="F10" s="15" t="n">
        <f aca="false">D10*E10</f>
        <v>0</v>
      </c>
      <c r="G10" s="15" t="n">
        <f aca="false">IF(C10=0,0,F10/C10)</f>
        <v>0</v>
      </c>
      <c r="H10" s="6" t="n">
        <f aca="false">Supuestos!D41</f>
        <v>48</v>
      </c>
      <c r="I10" s="16" t="n">
        <f aca="false">G10*H10</f>
        <v>0</v>
      </c>
      <c r="J10" s="16" t="n">
        <f aca="false">I10/(1+Supuestos!$B$26)</f>
        <v>0</v>
      </c>
      <c r="K10" s="6" t="n">
        <f aca="false">Costeo!E15</f>
        <v>15.447</v>
      </c>
      <c r="L10" s="6" t="n">
        <f aca="false">Costeo!E15</f>
        <v>15.447</v>
      </c>
      <c r="M10" s="13" t="n">
        <f aca="false">IF(H10=0,0,C10*Supuestos!$B$33+H10*Supuestos!$B$27*Supuestos!$C$33+H10/(1+Supuestos!$B$26)*Supuestos!$B$28)</f>
        <v>5.08677966101695</v>
      </c>
      <c r="N10" s="13" t="n">
        <f aca="false">IF(H10=0,0,H10/(1+Supuestos!$B$26)-K10-M10)</f>
        <v>20.144186440678</v>
      </c>
      <c r="O10" s="13" t="n">
        <f aca="false">IF(H10=0,0,H10/(1+Supuestos!$B$26)-L10-M10)</f>
        <v>20.144186440678</v>
      </c>
      <c r="P10" s="16" t="n">
        <f aca="false">G10*N10</f>
        <v>0</v>
      </c>
      <c r="Q10" s="16" t="n">
        <f aca="false">G10*O10</f>
        <v>0</v>
      </c>
      <c r="R10" s="12" t="n">
        <f aca="false">IF(H10=0,0,N10/(H10/(1+Supuestos!$B$26)))</f>
        <v>0.49521125</v>
      </c>
      <c r="S10" s="12" t="n">
        <f aca="false">IF(H10=0,0,O10/(H10/(1+Supuestos!$B$26)))</f>
        <v>0.49521125</v>
      </c>
    </row>
    <row r="11" customFormat="false" ht="15" hidden="false" customHeight="false" outlineLevel="0" collapsed="false">
      <c r="A11" s="4" t="s">
        <v>119</v>
      </c>
      <c r="B11" s="4" t="s">
        <v>30</v>
      </c>
      <c r="C11" s="17" t="n">
        <f aca="false">Costeo!B5</f>
        <v>1</v>
      </c>
      <c r="D11" s="8" t="n">
        <f aca="false">Mensual!$N$16</f>
        <v>9176</v>
      </c>
      <c r="E11" s="7" t="n">
        <f aca="false">Supuestos!B50</f>
        <v>0.1</v>
      </c>
      <c r="F11" s="15" t="n">
        <f aca="false">D11*E11</f>
        <v>917.6</v>
      </c>
      <c r="G11" s="15" t="n">
        <f aca="false">IF(C11=0,0,F11/C11)</f>
        <v>917.6</v>
      </c>
      <c r="H11" s="6" t="n">
        <f aca="false">Supuestos!B42</f>
        <v>4</v>
      </c>
      <c r="I11" s="16" t="n">
        <f aca="false">G11*H11</f>
        <v>3670.4</v>
      </c>
      <c r="J11" s="16" t="n">
        <f aca="false">I11/(1+Supuestos!$B$26)</f>
        <v>3110.50847457627</v>
      </c>
      <c r="K11" s="6" t="n">
        <f aca="false">Costeo!B15</f>
        <v>1.4255</v>
      </c>
      <c r="L11" s="6" t="n">
        <f aca="false">Costeo!B15</f>
        <v>1.4255</v>
      </c>
      <c r="M11" s="13" t="n">
        <f aca="false">IF(H11=0,0,C11*Supuestos!$B$34+H11*Supuestos!$B$27*Supuestos!$C$34+H11/(1+Supuestos!$B$26)*Supuestos!$B$28)</f>
        <v>0.953898305084746</v>
      </c>
      <c r="N11" s="13" t="n">
        <f aca="false">IF(H11=0,0,H11/(1+Supuestos!$B$26)-K11-M11)</f>
        <v>1.01043220338983</v>
      </c>
      <c r="O11" s="13" t="n">
        <f aca="false">IF(H11=0,0,H11/(1+Supuestos!$B$26)-L11-M11)</f>
        <v>1.01043220338983</v>
      </c>
      <c r="P11" s="16" t="n">
        <f aca="false">G11*N11</f>
        <v>927.172589830509</v>
      </c>
      <c r="Q11" s="16" t="n">
        <f aca="false">G11*O11</f>
        <v>927.172589830509</v>
      </c>
      <c r="R11" s="12" t="n">
        <f aca="false">IF(H11=0,0,N11/(H11/(1+Supuestos!$B$26)))</f>
        <v>0.2980775</v>
      </c>
      <c r="S11" s="12" t="n">
        <f aca="false">IF(H11=0,0,O11/(H11/(1+Supuestos!$B$26)))</f>
        <v>0.2980775</v>
      </c>
    </row>
    <row r="12" customFormat="false" ht="15" hidden="false" customHeight="false" outlineLevel="0" collapsed="false">
      <c r="A12" s="4" t="s">
        <v>119</v>
      </c>
      <c r="B12" s="4" t="s">
        <v>126</v>
      </c>
      <c r="C12" s="17" t="n">
        <f aca="false">Costeo!C5</f>
        <v>6</v>
      </c>
      <c r="D12" s="8" t="n">
        <f aca="false">Mensual!$N$16</f>
        <v>9176</v>
      </c>
      <c r="E12" s="7" t="n">
        <f aca="false">Supuestos!C50</f>
        <v>0.6</v>
      </c>
      <c r="F12" s="15" t="n">
        <f aca="false">D12*E12</f>
        <v>5505.6</v>
      </c>
      <c r="G12" s="15" t="n">
        <f aca="false">IF(C12=0,0,F12/C12)</f>
        <v>917.6</v>
      </c>
      <c r="H12" s="6" t="n">
        <f aca="false">Supuestos!C42</f>
        <v>24.9</v>
      </c>
      <c r="I12" s="16" t="n">
        <f aca="false">G12*H12</f>
        <v>22848.24</v>
      </c>
      <c r="J12" s="16" t="n">
        <f aca="false">I12/(1+Supuestos!$B$26)</f>
        <v>19362.9152542373</v>
      </c>
      <c r="K12" s="6" t="n">
        <f aca="false">Costeo!C15</f>
        <v>8.2905</v>
      </c>
      <c r="L12" s="6" t="n">
        <f aca="false">Costeo!D15</f>
        <v>7.7865</v>
      </c>
      <c r="M12" s="13" t="n">
        <f aca="false">IF(H12=0,0,C12*Supuestos!$B$34+H12*Supuestos!$B$27*Supuestos!$C$34+H12/(1+Supuestos!$B$26)*Supuestos!$B$28)</f>
        <v>5.75801694915254</v>
      </c>
      <c r="N12" s="13" t="n">
        <f aca="false">IF(H12=0,0,H12/(1+Supuestos!$B$26)-K12-M12)</f>
        <v>7.05317796610169</v>
      </c>
      <c r="O12" s="13" t="n">
        <f aca="false">IF(H12=0,0,H12/(1+Supuestos!$B$26)-L12-M12)</f>
        <v>7.5571779661017</v>
      </c>
      <c r="P12" s="16" t="n">
        <f aca="false">G12*N12</f>
        <v>6471.99610169492</v>
      </c>
      <c r="Q12" s="16" t="n">
        <f aca="false">G12*O12</f>
        <v>6934.46650169492</v>
      </c>
      <c r="R12" s="12" t="n">
        <f aca="false">IF(H12=0,0,N12/(H12/(1+Supuestos!$B$26)))</f>
        <v>0.334246987951807</v>
      </c>
      <c r="S12" s="12" t="n">
        <f aca="false">IF(H12=0,0,O12/(H12/(1+Supuestos!$B$26)))</f>
        <v>0.358131325301205</v>
      </c>
    </row>
    <row r="13" customFormat="false" ht="15" hidden="false" customHeight="false" outlineLevel="0" collapsed="false">
      <c r="A13" s="4" t="s">
        <v>119</v>
      </c>
      <c r="B13" s="4" t="s">
        <v>33</v>
      </c>
      <c r="C13" s="17" t="n">
        <f aca="false">Costeo!E5</f>
        <v>12</v>
      </c>
      <c r="D13" s="8" t="n">
        <f aca="false">Mensual!$N$16</f>
        <v>9176</v>
      </c>
      <c r="E13" s="7" t="n">
        <f aca="false">Supuestos!D50</f>
        <v>0.3</v>
      </c>
      <c r="F13" s="15" t="n">
        <f aca="false">D13*E13</f>
        <v>2752.8</v>
      </c>
      <c r="G13" s="15" t="n">
        <f aca="false">IF(C13=0,0,F13/C13)</f>
        <v>229.4</v>
      </c>
      <c r="H13" s="6" t="n">
        <f aca="false">Supuestos!D42</f>
        <v>46.9</v>
      </c>
      <c r="I13" s="16" t="n">
        <f aca="false">G13*H13</f>
        <v>10758.86</v>
      </c>
      <c r="J13" s="16" t="n">
        <f aca="false">I13/(1+Supuestos!$B$26)</f>
        <v>9117.67796610169</v>
      </c>
      <c r="K13" s="6" t="n">
        <f aca="false">Costeo!E15</f>
        <v>15.447</v>
      </c>
      <c r="L13" s="6" t="n">
        <f aca="false">Costeo!E15</f>
        <v>15.447</v>
      </c>
      <c r="M13" s="13" t="n">
        <f aca="false">IF(H13=0,0,C13*Supuestos!$B$34+H13*Supuestos!$B$27*Supuestos!$C$34+H13/(1+Supuestos!$B$26)*Supuestos!$B$28)</f>
        <v>11.4044576271186</v>
      </c>
      <c r="N13" s="13" t="n">
        <f aca="false">IF(H13=0,0,H13/(1+Supuestos!$B$26)-K13-M13)</f>
        <v>12.8943050847458</v>
      </c>
      <c r="O13" s="13" t="n">
        <f aca="false">IF(H13=0,0,H13/(1+Supuestos!$B$26)-L13-M13)</f>
        <v>12.8943050847458</v>
      </c>
      <c r="P13" s="16" t="n">
        <f aca="false">G13*N13</f>
        <v>2957.95358644068</v>
      </c>
      <c r="Q13" s="16" t="n">
        <f aca="false">G13*O13</f>
        <v>2957.95358644068</v>
      </c>
      <c r="R13" s="12" t="n">
        <f aca="false">IF(H13=0,0,N13/(H13/(1+Supuestos!$B$26)))</f>
        <v>0.324419616204691</v>
      </c>
      <c r="S13" s="12" t="n">
        <f aca="false">IF(H13=0,0,O13/(H13/(1+Supuestos!$B$26)))</f>
        <v>0.324419616204691</v>
      </c>
    </row>
    <row r="14" customFormat="false" ht="15" hidden="false" customHeight="false" outlineLevel="0" collapsed="false">
      <c r="A14" s="4" t="s">
        <v>121</v>
      </c>
      <c r="B14" s="4" t="s">
        <v>30</v>
      </c>
      <c r="C14" s="17" t="n">
        <f aca="false">Costeo!B5</f>
        <v>1</v>
      </c>
      <c r="D14" s="8" t="n">
        <f aca="false">Mensual!$N$17</f>
        <v>9165</v>
      </c>
      <c r="E14" s="7" t="n">
        <f aca="false">Supuestos!B51</f>
        <v>1</v>
      </c>
      <c r="F14" s="15" t="n">
        <f aca="false">D14*E14</f>
        <v>9165</v>
      </c>
      <c r="G14" s="15" t="n">
        <f aca="false">IF(C14=0,0,F14/C14)</f>
        <v>9165</v>
      </c>
      <c r="H14" s="6" t="n">
        <f aca="false">Supuestos!B43</f>
        <v>3</v>
      </c>
      <c r="I14" s="16" t="n">
        <f aca="false">G14*H14</f>
        <v>27495</v>
      </c>
      <c r="J14" s="16" t="n">
        <f aca="false">I14/(1+Supuestos!$B$26)</f>
        <v>23300.8474576271</v>
      </c>
      <c r="K14" s="6" t="n">
        <f aca="false">Costeo!B15</f>
        <v>1.4255</v>
      </c>
      <c r="L14" s="6" t="n">
        <f aca="false">Costeo!B15</f>
        <v>1.4255</v>
      </c>
      <c r="M14" s="13" t="n">
        <f aca="false">IF(H14=0,0,C14*Supuestos!$B$35+H14*Supuestos!$B$27*Supuestos!$C$35+H14/(1+Supuestos!$B$26)*Supuestos!$B$28)</f>
        <v>0.125423728813559</v>
      </c>
      <c r="N14" s="13" t="n">
        <f aca="false">IF(H14=0,0,H14/(1+Supuestos!$B$26)-K14-M14)</f>
        <v>0.991449152542373</v>
      </c>
      <c r="O14" s="13" t="n">
        <f aca="false">IF(H14=0,0,H14/(1+Supuestos!$B$26)-L14-M14)</f>
        <v>0.991449152542373</v>
      </c>
      <c r="P14" s="16" t="n">
        <f aca="false">G14*N14</f>
        <v>9086.63148305085</v>
      </c>
      <c r="Q14" s="16" t="n">
        <f aca="false">G14*O14</f>
        <v>9086.63148305085</v>
      </c>
      <c r="R14" s="12" t="n">
        <f aca="false">IF(H14=0,0,N14/(H14/(1+Supuestos!$B$26)))</f>
        <v>0.38997</v>
      </c>
      <c r="S14" s="12" t="n">
        <f aca="false">IF(H14=0,0,O14/(H14/(1+Supuestos!$B$26)))</f>
        <v>0.38997</v>
      </c>
    </row>
    <row r="15" customFormat="false" ht="15" hidden="false" customHeight="false" outlineLevel="0" collapsed="false">
      <c r="A15" s="4" t="s">
        <v>121</v>
      </c>
      <c r="B15" s="4" t="s">
        <v>126</v>
      </c>
      <c r="C15" s="17" t="n">
        <f aca="false">Costeo!C5</f>
        <v>6</v>
      </c>
      <c r="D15" s="8" t="n">
        <f aca="false">Mensual!$N$17</f>
        <v>9165</v>
      </c>
      <c r="E15" s="7" t="n">
        <f aca="false">Supuestos!C51</f>
        <v>0</v>
      </c>
      <c r="F15" s="15" t="n">
        <f aca="false">D15*E15</f>
        <v>0</v>
      </c>
      <c r="G15" s="15" t="n">
        <f aca="false">IF(C15=0,0,F15/C15)</f>
        <v>0</v>
      </c>
      <c r="H15" s="6" t="n">
        <f aca="false">Supuestos!C43</f>
        <v>0</v>
      </c>
      <c r="I15" s="16" t="n">
        <f aca="false">G15*H15</f>
        <v>0</v>
      </c>
      <c r="J15" s="16" t="n">
        <f aca="false">I15/(1+Supuestos!$B$26)</f>
        <v>0</v>
      </c>
      <c r="K15" s="6" t="n">
        <f aca="false">Costeo!C15</f>
        <v>8.2905</v>
      </c>
      <c r="L15" s="6" t="n">
        <f aca="false">Costeo!D15</f>
        <v>7.7865</v>
      </c>
      <c r="M15" s="13" t="n">
        <f aca="false">IF(H15=0,0,C15*Supuestos!$B$35+H15*Supuestos!$B$27*Supuestos!$C$35+H15/(1+Supuestos!$B$26)*Supuestos!$B$28)</f>
        <v>0</v>
      </c>
      <c r="N15" s="13" t="n">
        <f aca="false">IF(H15=0,0,H15/(1+Supuestos!$B$26)-K15-M15)</f>
        <v>0</v>
      </c>
      <c r="O15" s="13" t="n">
        <f aca="false">IF(H15=0,0,H15/(1+Supuestos!$B$26)-L15-M15)</f>
        <v>0</v>
      </c>
      <c r="P15" s="16" t="n">
        <f aca="false">G15*N15</f>
        <v>0</v>
      </c>
      <c r="Q15" s="16" t="n">
        <f aca="false">G15*O15</f>
        <v>0</v>
      </c>
      <c r="R15" s="12" t="n">
        <f aca="false">IF(H15=0,0,N15/(H15/(1+Supuestos!$B$26)))</f>
        <v>0</v>
      </c>
      <c r="S15" s="12" t="n">
        <f aca="false">IF(H15=0,0,O15/(H15/(1+Supuestos!$B$26)))</f>
        <v>0</v>
      </c>
    </row>
    <row r="16" customFormat="false" ht="15" hidden="false" customHeight="false" outlineLevel="0" collapsed="false">
      <c r="A16" s="4" t="s">
        <v>121</v>
      </c>
      <c r="B16" s="4" t="s">
        <v>33</v>
      </c>
      <c r="C16" s="17" t="n">
        <f aca="false">Costeo!E5</f>
        <v>12</v>
      </c>
      <c r="D16" s="8" t="n">
        <f aca="false">Mensual!$N$17</f>
        <v>9165</v>
      </c>
      <c r="E16" s="7" t="n">
        <f aca="false">Supuestos!D51</f>
        <v>0</v>
      </c>
      <c r="F16" s="15" t="n">
        <f aca="false">D16*E16</f>
        <v>0</v>
      </c>
      <c r="G16" s="15" t="n">
        <f aca="false">IF(C16=0,0,F16/C16)</f>
        <v>0</v>
      </c>
      <c r="H16" s="6" t="n">
        <f aca="false">Supuestos!D43</f>
        <v>0</v>
      </c>
      <c r="I16" s="16" t="n">
        <f aca="false">G16*H16</f>
        <v>0</v>
      </c>
      <c r="J16" s="16" t="n">
        <f aca="false">I16/(1+Supuestos!$B$26)</f>
        <v>0</v>
      </c>
      <c r="K16" s="6" t="n">
        <f aca="false">Costeo!E15</f>
        <v>15.447</v>
      </c>
      <c r="L16" s="6" t="n">
        <f aca="false">Costeo!E15</f>
        <v>15.447</v>
      </c>
      <c r="M16" s="13" t="n">
        <f aca="false">IF(H16=0,0,C16*Supuestos!$B$35+H16*Supuestos!$B$27*Supuestos!$C$35+H16/(1+Supuestos!$B$26)*Supuestos!$B$28)</f>
        <v>0</v>
      </c>
      <c r="N16" s="13" t="n">
        <f aca="false">IF(H16=0,0,H16/(1+Supuestos!$B$26)-K16-M16)</f>
        <v>0</v>
      </c>
      <c r="O16" s="13" t="n">
        <f aca="false">IF(H16=0,0,H16/(1+Supuestos!$B$26)-L16-M16)</f>
        <v>0</v>
      </c>
      <c r="P16" s="16" t="n">
        <f aca="false">G16*N16</f>
        <v>0</v>
      </c>
      <c r="Q16" s="16" t="n">
        <f aca="false">G16*O16</f>
        <v>0</v>
      </c>
      <c r="R16" s="12" t="n">
        <f aca="false">IF(H16=0,0,N16/(H16/(1+Supuestos!$B$26)))</f>
        <v>0</v>
      </c>
      <c r="S16" s="12" t="n">
        <f aca="false">IF(H16=0,0,O16/(H16/(1+Supuestos!$B$26)))</f>
        <v>0</v>
      </c>
    </row>
    <row r="17" customFormat="false" ht="15" hidden="false" customHeight="false" outlineLevel="0" collapsed="false">
      <c r="A17" s="4" t="s">
        <v>123</v>
      </c>
      <c r="B17" s="4" t="s">
        <v>30</v>
      </c>
      <c r="C17" s="17" t="n">
        <f aca="false">Costeo!B5</f>
        <v>1</v>
      </c>
      <c r="D17" s="8" t="n">
        <f aca="false">Mensual!$N$18</f>
        <v>3720</v>
      </c>
      <c r="E17" s="7" t="n">
        <f aca="false">Supuestos!B52</f>
        <v>0</v>
      </c>
      <c r="F17" s="15" t="n">
        <f aca="false">D17*E17</f>
        <v>0</v>
      </c>
      <c r="G17" s="15" t="n">
        <f aca="false">IF(C17=0,0,F17/C17)</f>
        <v>0</v>
      </c>
      <c r="H17" s="6" t="n">
        <f aca="false">Supuestos!B44</f>
        <v>0</v>
      </c>
      <c r="I17" s="16" t="n">
        <f aca="false">G17*H17</f>
        <v>0</v>
      </c>
      <c r="J17" s="16" t="n">
        <f aca="false">I17/(1+Supuestos!$B$26)</f>
        <v>0</v>
      </c>
      <c r="K17" s="6" t="n">
        <f aca="false">Costeo!B15</f>
        <v>1.4255</v>
      </c>
      <c r="L17" s="6" t="n">
        <f aca="false">Costeo!B15</f>
        <v>1.4255</v>
      </c>
      <c r="M17" s="13" t="n">
        <f aca="false">IF(H17=0,0,C17*Supuestos!$B$36+H17*Supuestos!$B$27*Supuestos!$C$36+H17/(1+Supuestos!$B$26)*Supuestos!$B$28)</f>
        <v>0</v>
      </c>
      <c r="N17" s="13" t="n">
        <f aca="false">IF(H17=0,0,H17/(1+Supuestos!$B$26)-K17-M17)</f>
        <v>0</v>
      </c>
      <c r="O17" s="13" t="n">
        <f aca="false">IF(H17=0,0,H17/(1+Supuestos!$B$26)-L17-M17)</f>
        <v>0</v>
      </c>
      <c r="P17" s="16" t="n">
        <f aca="false">G17*N17</f>
        <v>0</v>
      </c>
      <c r="Q17" s="16" t="n">
        <f aca="false">G17*O17</f>
        <v>0</v>
      </c>
      <c r="R17" s="12" t="n">
        <f aca="false">IF(H17=0,0,N17/(H17/(1+Supuestos!$B$26)))</f>
        <v>0</v>
      </c>
      <c r="S17" s="12" t="n">
        <f aca="false">IF(H17=0,0,O17/(H17/(1+Supuestos!$B$26)))</f>
        <v>0</v>
      </c>
    </row>
    <row r="18" customFormat="false" ht="15" hidden="false" customHeight="false" outlineLevel="0" collapsed="false">
      <c r="A18" s="4" t="s">
        <v>123</v>
      </c>
      <c r="B18" s="4" t="s">
        <v>126</v>
      </c>
      <c r="C18" s="17" t="n">
        <f aca="false">Costeo!C5</f>
        <v>6</v>
      </c>
      <c r="D18" s="8" t="n">
        <f aca="false">Mensual!$N$18</f>
        <v>3720</v>
      </c>
      <c r="E18" s="7" t="n">
        <f aca="false">Supuestos!C52</f>
        <v>1</v>
      </c>
      <c r="F18" s="15" t="n">
        <f aca="false">D18*E18</f>
        <v>3720</v>
      </c>
      <c r="G18" s="15" t="n">
        <f aca="false">IF(C18=0,0,F18/C18)</f>
        <v>620</v>
      </c>
      <c r="H18" s="6" t="n">
        <f aca="false">Supuestos!C44</f>
        <v>17.34</v>
      </c>
      <c r="I18" s="16" t="n">
        <f aca="false">G18*H18</f>
        <v>10750.8</v>
      </c>
      <c r="J18" s="16" t="n">
        <f aca="false">I18/(1+Supuestos!$B$26)</f>
        <v>9110.84745762712</v>
      </c>
      <c r="K18" s="6" t="n">
        <f aca="false">Costeo!C15</f>
        <v>8.2905</v>
      </c>
      <c r="L18" s="6" t="n">
        <f aca="false">Costeo!D15</f>
        <v>7.7865</v>
      </c>
      <c r="M18" s="13" t="n">
        <f aca="false">IF(H18=0,0,C18*Supuestos!$B$36+H18*Supuestos!$B$27*Supuestos!$C$36+H18/(1+Supuestos!$B$26)*Supuestos!$B$28)</f>
        <v>1.04694915254237</v>
      </c>
      <c r="N18" s="13" t="n">
        <f aca="false">IF(H18=0,0,H18/(1+Supuestos!$B$26)-K18-M18)</f>
        <v>5.35746610169491</v>
      </c>
      <c r="O18" s="13" t="n">
        <f aca="false">IF(H18=0,0,H18/(1+Supuestos!$B$26)-L18-M18)</f>
        <v>5.86146610169492</v>
      </c>
      <c r="P18" s="16" t="n">
        <f aca="false">G18*N18</f>
        <v>3321.62898305085</v>
      </c>
      <c r="Q18" s="16" t="n">
        <f aca="false">G18*O18</f>
        <v>3634.10898305085</v>
      </c>
      <c r="R18" s="12" t="n">
        <f aca="false">IF(H18=0,0,N18/(H18/(1+Supuestos!$B$26)))</f>
        <v>0.364579584775086</v>
      </c>
      <c r="S18" s="12" t="n">
        <f aca="false">IF(H18=0,0,O18/(H18/(1+Supuestos!$B$26)))</f>
        <v>0.398877162629758</v>
      </c>
    </row>
    <row r="19" customFormat="false" ht="15" hidden="false" customHeight="false" outlineLevel="0" collapsed="false">
      <c r="A19" s="4" t="s">
        <v>123</v>
      </c>
      <c r="B19" s="4" t="s">
        <v>33</v>
      </c>
      <c r="C19" s="17" t="n">
        <f aca="false">Costeo!E5</f>
        <v>12</v>
      </c>
      <c r="D19" s="8" t="n">
        <f aca="false">Mensual!$N$18</f>
        <v>3720</v>
      </c>
      <c r="E19" s="7" t="n">
        <f aca="false">Supuestos!D52</f>
        <v>0</v>
      </c>
      <c r="F19" s="15" t="n">
        <f aca="false">D19*E19</f>
        <v>0</v>
      </c>
      <c r="G19" s="15" t="n">
        <f aca="false">IF(C19=0,0,F19/C19)</f>
        <v>0</v>
      </c>
      <c r="H19" s="6" t="n">
        <f aca="false">Supuestos!D44</f>
        <v>0</v>
      </c>
      <c r="I19" s="16" t="n">
        <f aca="false">G19*H19</f>
        <v>0</v>
      </c>
      <c r="J19" s="16" t="n">
        <f aca="false">I19/(1+Supuestos!$B$26)</f>
        <v>0</v>
      </c>
      <c r="K19" s="6" t="n">
        <f aca="false">Costeo!E15</f>
        <v>15.447</v>
      </c>
      <c r="L19" s="6" t="n">
        <f aca="false">Costeo!E15</f>
        <v>15.447</v>
      </c>
      <c r="M19" s="13" t="n">
        <f aca="false">IF(H19=0,0,C19*Supuestos!$B$36+H19*Supuestos!$B$27*Supuestos!$C$36+H19/(1+Supuestos!$B$26)*Supuestos!$B$28)</f>
        <v>0</v>
      </c>
      <c r="N19" s="13" t="n">
        <f aca="false">IF(H19=0,0,H19/(1+Supuestos!$B$26)-K19-M19)</f>
        <v>0</v>
      </c>
      <c r="O19" s="13" t="n">
        <f aca="false">IF(H19=0,0,H19/(1+Supuestos!$B$26)-L19-M19)</f>
        <v>0</v>
      </c>
      <c r="P19" s="16" t="n">
        <f aca="false">G19*N19</f>
        <v>0</v>
      </c>
      <c r="Q19" s="16" t="n">
        <f aca="false">G19*O19</f>
        <v>0</v>
      </c>
      <c r="R19" s="12" t="n">
        <f aca="false">IF(H19=0,0,N19/(H19/(1+Supuestos!$B$26)))</f>
        <v>0</v>
      </c>
      <c r="S19" s="12" t="n">
        <f aca="false">IF(H19=0,0,O19/(H19/(1+Supuestos!$B$26)))</f>
        <v>0</v>
      </c>
    </row>
    <row r="20" customFormat="false" ht="15" hidden="false" customHeight="false" outlineLevel="0" collapsed="false">
      <c r="A20" s="10" t="s">
        <v>214</v>
      </c>
      <c r="F20" s="31" t="n">
        <f aca="false">SUM(F5:F19)</f>
        <v>52786</v>
      </c>
      <c r="I20" s="11" t="n">
        <f aca="false">SUM(I5:I19)</f>
        <v>230740.383333333</v>
      </c>
      <c r="J20" s="11" t="n">
        <f aca="false">SUM(J5:J19)</f>
        <v>195542.697740113</v>
      </c>
      <c r="P20" s="11" t="n">
        <f aca="false">SUM(P5:P19)</f>
        <v>96848.2879877119</v>
      </c>
      <c r="Q20" s="11" t="n">
        <f aca="false">SUM(Q5:Q19)</f>
        <v>98492.5333877119</v>
      </c>
    </row>
    <row r="23" customFormat="false" ht="15" hidden="false" customHeight="false" outlineLevel="0" collapsed="false">
      <c r="A23" s="18" t="s">
        <v>215</v>
      </c>
      <c r="B23" s="19"/>
      <c r="C23" s="19"/>
      <c r="D23" s="19"/>
      <c r="E23" s="19"/>
      <c r="F23" s="19"/>
      <c r="G23" s="19"/>
      <c r="H23" s="19"/>
    </row>
    <row r="24" customFormat="false" ht="42" hidden="false" customHeight="true" outlineLevel="0" collapsed="false">
      <c r="A24" s="5" t="s">
        <v>111</v>
      </c>
      <c r="B24" s="5" t="s">
        <v>216</v>
      </c>
      <c r="C24" s="5" t="s">
        <v>217</v>
      </c>
      <c r="D24" s="5" t="s">
        <v>218</v>
      </c>
      <c r="E24" s="5" t="s">
        <v>203</v>
      </c>
      <c r="F24" s="5" t="s">
        <v>219</v>
      </c>
      <c r="G24" s="5" t="s">
        <v>220</v>
      </c>
      <c r="H24" s="5" t="s">
        <v>221</v>
      </c>
    </row>
    <row r="25" customFormat="false" ht="15" hidden="false" customHeight="false" outlineLevel="0" collapsed="false">
      <c r="A25" s="4" t="s">
        <v>115</v>
      </c>
      <c r="B25" s="15" t="n">
        <f aca="false">SUMIF($A$5:$A$19,A25,$F$5:$F$19)</f>
        <v>22625</v>
      </c>
      <c r="C25" s="16" t="n">
        <f aca="false">SUMIF($A$5:$A$19,A25,$P$5:$P$19)</f>
        <v>53963.4147775424</v>
      </c>
      <c r="D25" s="16" t="n">
        <f aca="false">SUMIF($A$5:$A$19,A25,$Q$5:$Q$19)</f>
        <v>54628.5897775424</v>
      </c>
      <c r="E25" s="16" t="n">
        <f aca="false">SUMIF($A$5:$A$19,A25,$I$5:$I$19)</f>
        <v>113502.083333333</v>
      </c>
      <c r="F25" s="13" t="n">
        <f aca="false">IF(B25=0,0,C25/B25)</f>
        <v>2.38512330508475</v>
      </c>
      <c r="G25" s="13" t="n">
        <f aca="false">IF(B25=0,0,D25/B25)</f>
        <v>2.41452330508475</v>
      </c>
      <c r="H25" s="13" t="n">
        <f aca="false">IF(B25=0,0,E25/B25)</f>
        <v>5.01666666666667</v>
      </c>
    </row>
    <row r="26" customFormat="false" ht="15" hidden="false" customHeight="false" outlineLevel="0" collapsed="false">
      <c r="A26" s="4" t="s">
        <v>117</v>
      </c>
      <c r="B26" s="15" t="n">
        <f aca="false">SUMIF($A$5:$A$19,A26,$F$5:$F$19)</f>
        <v>8100</v>
      </c>
      <c r="C26" s="16" t="n">
        <f aca="false">SUMIF($A$5:$A$19,A26,$P$5:$P$19)</f>
        <v>20119.4904661017</v>
      </c>
      <c r="D26" s="16" t="n">
        <f aca="false">SUMIF($A$5:$A$19,A26,$Q$5:$Q$19)</f>
        <v>20323.6104661017</v>
      </c>
      <c r="E26" s="16" t="n">
        <f aca="false">SUMIF($A$5:$A$19,A26,$I$5:$I$19)</f>
        <v>41715</v>
      </c>
      <c r="F26" s="13" t="n">
        <f aca="false">IF(B26=0,0,C26/B26)</f>
        <v>2.48388771186441</v>
      </c>
      <c r="G26" s="13" t="n">
        <f aca="false">IF(B26=0,0,D26/B26)</f>
        <v>2.50908771186441</v>
      </c>
      <c r="H26" s="13" t="n">
        <f aca="false">IF(B26=0,0,E26/B26)</f>
        <v>5.15</v>
      </c>
    </row>
    <row r="27" customFormat="false" ht="15" hidden="false" customHeight="false" outlineLevel="0" collapsed="false">
      <c r="A27" s="4" t="s">
        <v>119</v>
      </c>
      <c r="B27" s="15" t="n">
        <f aca="false">SUMIF($A$5:$A$19,A27,$F$5:$F$19)</f>
        <v>9176</v>
      </c>
      <c r="C27" s="16" t="n">
        <f aca="false">SUMIF($A$5:$A$19,A27,$P$5:$P$19)</f>
        <v>10357.1222779661</v>
      </c>
      <c r="D27" s="16" t="n">
        <f aca="false">SUMIF($A$5:$A$19,A27,$Q$5:$Q$19)</f>
        <v>10819.5926779661</v>
      </c>
      <c r="E27" s="16" t="n">
        <f aca="false">SUMIF($A$5:$A$19,A27,$I$5:$I$19)</f>
        <v>37277.5</v>
      </c>
      <c r="F27" s="13" t="n">
        <f aca="false">IF(B27=0,0,C27/B27)</f>
        <v>1.1287186440678</v>
      </c>
      <c r="G27" s="13" t="n">
        <f aca="false">IF(B27=0,0,D27/B27)</f>
        <v>1.1791186440678</v>
      </c>
      <c r="H27" s="13" t="n">
        <f aca="false">IF(B27=0,0,E27/B27)</f>
        <v>4.0625</v>
      </c>
    </row>
    <row r="28" customFormat="false" ht="15" hidden="false" customHeight="false" outlineLevel="0" collapsed="false">
      <c r="A28" s="4" t="s">
        <v>121</v>
      </c>
      <c r="B28" s="15" t="n">
        <f aca="false">SUMIF($A$5:$A$19,A28,$F$5:$F$19)</f>
        <v>9165</v>
      </c>
      <c r="C28" s="16" t="n">
        <f aca="false">SUMIF($A$5:$A$19,A28,$P$5:$P$19)</f>
        <v>9086.63148305085</v>
      </c>
      <c r="D28" s="16" t="n">
        <f aca="false">SUMIF($A$5:$A$19,A28,$Q$5:$Q$19)</f>
        <v>9086.63148305085</v>
      </c>
      <c r="E28" s="16" t="n">
        <f aca="false">SUMIF($A$5:$A$19,A28,$I$5:$I$19)</f>
        <v>27495</v>
      </c>
      <c r="F28" s="13" t="n">
        <f aca="false">IF(B28=0,0,C28/B28)</f>
        <v>0.991449152542373</v>
      </c>
      <c r="G28" s="13" t="n">
        <f aca="false">IF(B28=0,0,D28/B28)</f>
        <v>0.991449152542373</v>
      </c>
      <c r="H28" s="13" t="n">
        <f aca="false">IF(B28=0,0,E28/B28)</f>
        <v>3</v>
      </c>
    </row>
    <row r="29" customFormat="false" ht="15" hidden="false" customHeight="false" outlineLevel="0" collapsed="false">
      <c r="A29" s="4" t="s">
        <v>123</v>
      </c>
      <c r="B29" s="15" t="n">
        <f aca="false">SUMIF($A$5:$A$19,A29,$F$5:$F$19)</f>
        <v>3720</v>
      </c>
      <c r="C29" s="16" t="n">
        <f aca="false">SUMIF($A$5:$A$19,A29,$P$5:$P$19)</f>
        <v>3321.62898305085</v>
      </c>
      <c r="D29" s="16" t="n">
        <f aca="false">SUMIF($A$5:$A$19,A29,$Q$5:$Q$19)</f>
        <v>3634.10898305085</v>
      </c>
      <c r="E29" s="16" t="n">
        <f aca="false">SUMIF($A$5:$A$19,A29,$I$5:$I$19)</f>
        <v>10750.8</v>
      </c>
      <c r="F29" s="13" t="n">
        <f aca="false">IF(B29=0,0,C29/B29)</f>
        <v>0.892911016949152</v>
      </c>
      <c r="G29" s="13" t="n">
        <f aca="false">IF(B29=0,0,D29/B29)</f>
        <v>0.976911016949153</v>
      </c>
      <c r="H29" s="13" t="n">
        <f aca="false">IF(B29=0,0,E29/B29)</f>
        <v>2.89</v>
      </c>
    </row>
    <row r="30" customFormat="false" ht="15" hidden="false" customHeight="false" outlineLevel="0" collapsed="false">
      <c r="A30" s="10" t="s">
        <v>214</v>
      </c>
      <c r="B30" s="31" t="n">
        <f aca="false">SUM(B25:B29)</f>
        <v>52786</v>
      </c>
      <c r="C30" s="11" t="n">
        <f aca="false">SUM(C25:C29)</f>
        <v>96848.2879877119</v>
      </c>
      <c r="D30" s="11" t="n">
        <f aca="false">SUM(D25:D29)</f>
        <v>98492.5333877119</v>
      </c>
      <c r="E30" s="11" t="n">
        <f aca="false">SUM(E25:E29)</f>
        <v>230740.383333333</v>
      </c>
      <c r="F30" s="30" t="n">
        <f aca="false">IF(B30=0,0,C30/B30)</f>
        <v>1.83473436115091</v>
      </c>
      <c r="G30" s="30" t="n">
        <f aca="false">IF(B30=0,0,D30/B30)</f>
        <v>1.86588363179085</v>
      </c>
      <c r="H30" s="30" t="n">
        <f aca="false">IF(B30=0,0,E30/B30)</f>
        <v>4.37124205913184</v>
      </c>
    </row>
    <row r="32" customFormat="false" ht="15" hidden="false" customHeight="false" outlineLevel="0" collapsed="false">
      <c r="A32" s="18" t="s">
        <v>222</v>
      </c>
      <c r="B32" s="19"/>
      <c r="C32" s="19"/>
      <c r="D32" s="19"/>
      <c r="E32" s="19"/>
      <c r="F32" s="19"/>
      <c r="G32" s="19"/>
      <c r="H32" s="19"/>
    </row>
    <row r="33" customFormat="false" ht="30" hidden="false" customHeight="true" outlineLevel="0" collapsed="false">
      <c r="A33" s="5" t="s">
        <v>23</v>
      </c>
      <c r="B33" s="5" t="s">
        <v>216</v>
      </c>
      <c r="C33" s="5" t="s">
        <v>201</v>
      </c>
      <c r="D33" s="5" t="s">
        <v>203</v>
      </c>
      <c r="E33" s="5" t="s">
        <v>217</v>
      </c>
      <c r="F33" s="5" t="s">
        <v>218</v>
      </c>
      <c r="G33" s="5" t="s">
        <v>154</v>
      </c>
      <c r="H33" s="5"/>
    </row>
    <row r="34" customFormat="false" ht="15" hidden="false" customHeight="false" outlineLevel="0" collapsed="false">
      <c r="A34" s="4" t="s">
        <v>30</v>
      </c>
      <c r="B34" s="15" t="n">
        <f aca="false">SUMIF($B$5:$B$19,A34,$F$5:$F$19)</f>
        <v>29327.6</v>
      </c>
      <c r="C34" s="15" t="n">
        <f aca="false">SUMIF($B$5:$B$19,A34,$G$5:$G$19)</f>
        <v>29327.6</v>
      </c>
      <c r="D34" s="16" t="n">
        <f aca="false">SUMIF($B$5:$B$19,A34,$I$5:$I$19)</f>
        <v>137012.9</v>
      </c>
      <c r="E34" s="16" t="n">
        <f aca="false">SUMIF($B$5:$B$19,A34,$P$5:$P$19)</f>
        <v>63012.7400474576</v>
      </c>
      <c r="F34" s="16" t="n">
        <f aca="false">SUMIF($B$5:$B$19,A34,$Q$5:$Q$19)</f>
        <v>63012.7400474576</v>
      </c>
      <c r="G34" s="12" t="n">
        <f aca="false">IF($F$20=0,0,B34/$F$20)</f>
        <v>0.555594286363809</v>
      </c>
    </row>
    <row r="35" customFormat="false" ht="15" hidden="false" customHeight="false" outlineLevel="0" collapsed="false">
      <c r="A35" s="4" t="s">
        <v>126</v>
      </c>
      <c r="B35" s="15" t="n">
        <f aca="false">SUMIF($B$5:$B$19,A35,$F$5:$F$19)</f>
        <v>19574.35</v>
      </c>
      <c r="C35" s="15" t="n">
        <f aca="false">SUMIF($B$5:$B$19,A35,$G$5:$G$19)</f>
        <v>3262.39166666667</v>
      </c>
      <c r="D35" s="16" t="n">
        <f aca="false">SUMIF($B$5:$B$19,A35,$I$5:$I$19)</f>
        <v>78443.6233333333</v>
      </c>
      <c r="E35" s="16" t="n">
        <f aca="false">SUMIF($B$5:$B$19,A35,$P$5:$P$19)</f>
        <v>28978.5851112288</v>
      </c>
      <c r="F35" s="16" t="n">
        <f aca="false">SUMIF($B$5:$B$19,A35,$Q$5:$Q$19)</f>
        <v>30622.8305112288</v>
      </c>
      <c r="G35" s="12" t="n">
        <f aca="false">IF($F$20=0,0,B35/$F$20)</f>
        <v>0.370824650475505</v>
      </c>
    </row>
    <row r="36" customFormat="false" ht="15" hidden="false" customHeight="false" outlineLevel="0" collapsed="false">
      <c r="A36" s="4" t="s">
        <v>33</v>
      </c>
      <c r="B36" s="15" t="n">
        <f aca="false">SUMIF($B$5:$B$19,A36,$F$5:$F$19)</f>
        <v>3884.05</v>
      </c>
      <c r="C36" s="15" t="n">
        <f aca="false">SUMIF($B$5:$B$19,A36,$G$5:$G$19)</f>
        <v>323.670833333333</v>
      </c>
      <c r="D36" s="16" t="n">
        <f aca="false">SUMIF($B$5:$B$19,A36,$I$5:$I$19)</f>
        <v>15283.86</v>
      </c>
      <c r="E36" s="16" t="n">
        <f aca="false">SUMIF($B$5:$B$19,A36,$P$5:$P$19)</f>
        <v>4856.96282902542</v>
      </c>
      <c r="F36" s="16" t="n">
        <f aca="false">SUMIF($B$5:$B$19,A36,$Q$5:$Q$19)</f>
        <v>4856.96282902542</v>
      </c>
      <c r="G36" s="12" t="n">
        <f aca="false">IF($F$20=0,0,B36/$F$20)</f>
        <v>0.0735810631606865</v>
      </c>
    </row>
    <row r="38" customFormat="false" ht="15" hidden="false" customHeight="false" outlineLevel="0" collapsed="false">
      <c r="A38" s="18" t="s">
        <v>223</v>
      </c>
      <c r="B38" s="19"/>
      <c r="C38" s="19"/>
      <c r="D38" s="19"/>
      <c r="E38" s="19"/>
      <c r="F38" s="19"/>
      <c r="G38" s="19"/>
      <c r="H38" s="19"/>
    </row>
    <row r="39" customFormat="false" ht="26.85" hidden="false" customHeight="false" outlineLevel="0" collapsed="false">
      <c r="A39" s="5" t="s">
        <v>168</v>
      </c>
      <c r="B39" s="5" t="s">
        <v>154</v>
      </c>
      <c r="C39" s="5" t="s">
        <v>224</v>
      </c>
      <c r="D39" s="5"/>
      <c r="E39" s="5"/>
      <c r="F39" s="5"/>
      <c r="G39" s="5"/>
      <c r="H39" s="5"/>
    </row>
    <row r="40" customFormat="false" ht="15" hidden="false" customHeight="false" outlineLevel="0" collapsed="false">
      <c r="A40" s="32" t="str">
        <f aca="false">Supuestos!A76</f>
        <v>Chispa (choco clásico con chispas)</v>
      </c>
      <c r="B40" s="7" t="n">
        <f aca="false">Supuestos!B76</f>
        <v>0.4</v>
      </c>
      <c r="C40" s="15" t="n">
        <f aca="false">$F$20*B40</f>
        <v>21114.4</v>
      </c>
    </row>
    <row r="41" customFormat="false" ht="15" hidden="false" customHeight="false" outlineLevel="0" collapsed="false">
      <c r="A41" s="32" t="str">
        <f aca="false">Supuestos!A77</f>
        <v>Andi (choco, plátano, canela y cañihua)</v>
      </c>
      <c r="B41" s="7" t="n">
        <f aca="false">Supuestos!B77</f>
        <v>0.35</v>
      </c>
      <c r="C41" s="15" t="n">
        <f aca="false">$F$20*B41</f>
        <v>18475.1</v>
      </c>
    </row>
    <row r="42" customFormat="false" ht="15" hidden="false" customHeight="false" outlineLevel="0" collapsed="false">
      <c r="A42" s="32" t="str">
        <f aca="false">Supuestos!A78</f>
        <v>Lúcu (choco y lúcuma)</v>
      </c>
      <c r="B42" s="7" t="n">
        <f aca="false">Supuestos!B78</f>
        <v>0.25</v>
      </c>
      <c r="C42" s="15" t="n">
        <f aca="false">$F$20*B42</f>
        <v>13196.5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2"/>
    <col collapsed="false" customWidth="true" hidden="false" outlineLevel="0" max="2" min="2" style="0" width="16"/>
    <col collapsed="false" customWidth="true" hidden="false" outlineLevel="0" max="3" min="3" style="0" width="80"/>
  </cols>
  <sheetData>
    <row r="1" customFormat="false" ht="17.35" hidden="false" customHeight="false" outlineLevel="0" collapsed="false">
      <c r="A1" s="1" t="s">
        <v>225</v>
      </c>
    </row>
    <row r="2" customFormat="false" ht="15" hidden="false" customHeight="false" outlineLevel="0" collapsed="false">
      <c r="A2" s="4" t="s">
        <v>226</v>
      </c>
    </row>
    <row r="4" customFormat="false" ht="15" hidden="false" customHeight="false" outlineLevel="0" collapsed="false">
      <c r="A4" s="5" t="s">
        <v>67</v>
      </c>
      <c r="B4" s="5" t="s">
        <v>227</v>
      </c>
      <c r="C4" s="5" t="s">
        <v>70</v>
      </c>
    </row>
    <row r="5" customFormat="false" ht="15" hidden="false" customHeight="false" outlineLevel="0" collapsed="false">
      <c r="A5" s="18" t="s">
        <v>228</v>
      </c>
      <c r="B5" s="19"/>
      <c r="C5" s="19"/>
    </row>
    <row r="6" customFormat="false" ht="15" hidden="false" customHeight="false" outlineLevel="0" collapsed="false">
      <c r="A6" s="4" t="s">
        <v>229</v>
      </c>
      <c r="B6" s="26" t="n">
        <v>150</v>
      </c>
      <c r="C6" s="4" t="s">
        <v>230</v>
      </c>
    </row>
    <row r="7" customFormat="false" ht="15" hidden="false" customHeight="false" outlineLevel="0" collapsed="false">
      <c r="A7" s="4" t="s">
        <v>231</v>
      </c>
      <c r="B7" s="26" t="n">
        <v>0</v>
      </c>
      <c r="C7" s="4" t="s">
        <v>232</v>
      </c>
    </row>
    <row r="8" customFormat="false" ht="15" hidden="false" customHeight="false" outlineLevel="0" collapsed="false">
      <c r="A8" s="4" t="s">
        <v>233</v>
      </c>
      <c r="B8" s="26" t="n">
        <v>401.2</v>
      </c>
      <c r="C8" s="4" t="s">
        <v>234</v>
      </c>
    </row>
    <row r="9" customFormat="false" ht="15" hidden="false" customHeight="false" outlineLevel="0" collapsed="false">
      <c r="A9" s="4" t="s">
        <v>235</v>
      </c>
      <c r="B9" s="26" t="n">
        <v>400</v>
      </c>
      <c r="C9" s="4" t="s">
        <v>230</v>
      </c>
    </row>
    <row r="10" customFormat="false" ht="15" hidden="false" customHeight="false" outlineLevel="0" collapsed="false">
      <c r="A10" s="4" t="s">
        <v>236</v>
      </c>
      <c r="B10" s="26" t="n">
        <v>1800</v>
      </c>
      <c r="C10" s="4" t="s">
        <v>230</v>
      </c>
    </row>
    <row r="11" customFormat="false" ht="15" hidden="false" customHeight="false" outlineLevel="0" collapsed="false">
      <c r="A11" s="4" t="s">
        <v>237</v>
      </c>
      <c r="B11" s="26" t="n">
        <v>1125</v>
      </c>
      <c r="C11" s="4" t="s">
        <v>230</v>
      </c>
    </row>
    <row r="12" customFormat="false" ht="15" hidden="false" customHeight="false" outlineLevel="0" collapsed="false">
      <c r="A12" s="4" t="s">
        <v>238</v>
      </c>
      <c r="B12" s="26" t="n">
        <v>1050</v>
      </c>
      <c r="C12" s="4" t="s">
        <v>230</v>
      </c>
    </row>
    <row r="13" customFormat="false" ht="15" hidden="false" customHeight="false" outlineLevel="0" collapsed="false">
      <c r="A13" s="4" t="s">
        <v>239</v>
      </c>
      <c r="B13" s="26" t="n">
        <v>650</v>
      </c>
      <c r="C13" s="4" t="s">
        <v>230</v>
      </c>
    </row>
    <row r="14" customFormat="false" ht="15" hidden="false" customHeight="false" outlineLevel="0" collapsed="false">
      <c r="A14" s="4" t="s">
        <v>240</v>
      </c>
      <c r="B14" s="26" t="n">
        <v>0</v>
      </c>
      <c r="C14" s="4" t="s">
        <v>241</v>
      </c>
    </row>
    <row r="15" customFormat="false" ht="15" hidden="false" customHeight="false" outlineLevel="0" collapsed="false">
      <c r="A15" s="4" t="s">
        <v>242</v>
      </c>
      <c r="B15" s="26" t="n">
        <v>75</v>
      </c>
      <c r="C15" s="4" t="s">
        <v>243</v>
      </c>
    </row>
    <row r="16" customFormat="false" ht="15" hidden="false" customHeight="false" outlineLevel="0" collapsed="false">
      <c r="A16" s="4" t="s">
        <v>244</v>
      </c>
      <c r="B16" s="33" t="n">
        <v>600</v>
      </c>
      <c r="C16" s="4" t="s">
        <v>245</v>
      </c>
    </row>
    <row r="17" customFormat="false" ht="15" hidden="false" customHeight="false" outlineLevel="0" collapsed="false">
      <c r="A17" s="10" t="s">
        <v>246</v>
      </c>
      <c r="B17" s="30" t="n">
        <f aca="false">SUM(B6:B16)</f>
        <v>6251.2</v>
      </c>
    </row>
    <row r="18" customFormat="false" ht="15" hidden="false" customHeight="false" outlineLevel="0" collapsed="false">
      <c r="A18" s="18" t="s">
        <v>247</v>
      </c>
      <c r="B18" s="19"/>
      <c r="C18" s="19"/>
    </row>
    <row r="19" customFormat="false" ht="15" hidden="false" customHeight="false" outlineLevel="0" collapsed="false">
      <c r="A19" s="4" t="s">
        <v>248</v>
      </c>
      <c r="B19" s="26" t="n">
        <v>942.81</v>
      </c>
      <c r="C19" s="4" t="s">
        <v>249</v>
      </c>
    </row>
    <row r="20" customFormat="false" ht="15" hidden="false" customHeight="false" outlineLevel="0" collapsed="false">
      <c r="A20" s="4" t="s">
        <v>250</v>
      </c>
      <c r="B20" s="26" t="n">
        <v>148</v>
      </c>
      <c r="C20" s="4" t="s">
        <v>230</v>
      </c>
    </row>
    <row r="21" customFormat="false" ht="15" hidden="false" customHeight="false" outlineLevel="0" collapsed="false">
      <c r="A21" s="4" t="s">
        <v>251</v>
      </c>
      <c r="B21" s="26" t="n">
        <v>750</v>
      </c>
      <c r="C21" s="4" t="s">
        <v>230</v>
      </c>
    </row>
    <row r="22" customFormat="false" ht="15" hidden="false" customHeight="false" outlineLevel="0" collapsed="false">
      <c r="A22" s="4" t="s">
        <v>252</v>
      </c>
      <c r="B22" s="26" t="n">
        <v>150</v>
      </c>
      <c r="C22" s="4" t="s">
        <v>230</v>
      </c>
    </row>
    <row r="23" customFormat="false" ht="15" hidden="false" customHeight="false" outlineLevel="0" collapsed="false">
      <c r="A23" s="4" t="s">
        <v>253</v>
      </c>
      <c r="B23" s="33" t="n">
        <v>1750</v>
      </c>
      <c r="C23" s="4" t="s">
        <v>254</v>
      </c>
    </row>
    <row r="24" customFormat="false" ht="15" hidden="false" customHeight="false" outlineLevel="0" collapsed="false">
      <c r="A24" s="10" t="s">
        <v>255</v>
      </c>
      <c r="B24" s="30" t="n">
        <f aca="false">SUM(B19:B23)</f>
        <v>3740.81</v>
      </c>
    </row>
    <row r="25" customFormat="false" ht="15" hidden="false" customHeight="false" outlineLevel="0" collapsed="false">
      <c r="A25" s="18" t="s">
        <v>256</v>
      </c>
      <c r="B25" s="19"/>
      <c r="C25" s="19"/>
    </row>
    <row r="26" customFormat="false" ht="15" hidden="false" customHeight="false" outlineLevel="0" collapsed="false">
      <c r="A26" s="4" t="s">
        <v>257</v>
      </c>
      <c r="B26" s="26" t="n">
        <v>800</v>
      </c>
      <c r="C26" s="4" t="s">
        <v>230</v>
      </c>
    </row>
    <row r="27" customFormat="false" ht="15" hidden="false" customHeight="false" outlineLevel="0" collapsed="false">
      <c r="A27" s="4" t="s">
        <v>258</v>
      </c>
      <c r="B27" s="26" t="n">
        <v>300</v>
      </c>
      <c r="C27" s="4" t="s">
        <v>230</v>
      </c>
    </row>
    <row r="28" customFormat="false" ht="15" hidden="false" customHeight="false" outlineLevel="0" collapsed="false">
      <c r="A28" s="4" t="s">
        <v>259</v>
      </c>
      <c r="B28" s="26" t="n">
        <v>150</v>
      </c>
      <c r="C28" s="4" t="s">
        <v>230</v>
      </c>
    </row>
    <row r="29" customFormat="false" ht="15" hidden="false" customHeight="false" outlineLevel="0" collapsed="false">
      <c r="A29" s="10" t="s">
        <v>260</v>
      </c>
      <c r="B29" s="30" t="n">
        <f aca="false">SUM(B26:B28)</f>
        <v>1250</v>
      </c>
    </row>
    <row r="30" customFormat="false" ht="15" hidden="false" customHeight="false" outlineLevel="0" collapsed="false">
      <c r="A30" s="18" t="s">
        <v>261</v>
      </c>
      <c r="B30" s="19"/>
      <c r="C30" s="19"/>
    </row>
    <row r="31" customFormat="false" ht="15" hidden="false" customHeight="false" outlineLevel="0" collapsed="false">
      <c r="A31" s="4" t="s">
        <v>262</v>
      </c>
      <c r="B31" s="26" t="n">
        <v>3030</v>
      </c>
      <c r="C31" s="4" t="s">
        <v>230</v>
      </c>
    </row>
    <row r="32" customFormat="false" ht="15" hidden="false" customHeight="false" outlineLevel="0" collapsed="false">
      <c r="A32" s="4" t="s">
        <v>263</v>
      </c>
      <c r="B32" s="26" t="n">
        <v>4135.3</v>
      </c>
      <c r="C32" s="4" t="s">
        <v>230</v>
      </c>
    </row>
    <row r="33" customFormat="false" ht="15" hidden="false" customHeight="false" outlineLevel="0" collapsed="false">
      <c r="A33" s="4" t="s">
        <v>264</v>
      </c>
      <c r="B33" s="26" t="n">
        <v>3204</v>
      </c>
      <c r="C33" s="4" t="s">
        <v>230</v>
      </c>
    </row>
    <row r="34" customFormat="false" ht="15" hidden="false" customHeight="false" outlineLevel="0" collapsed="false">
      <c r="A34" s="4" t="s">
        <v>265</v>
      </c>
      <c r="B34" s="26" t="n">
        <v>8000</v>
      </c>
      <c r="C34" s="4" t="s">
        <v>230</v>
      </c>
    </row>
    <row r="35" customFormat="false" ht="15" hidden="false" customHeight="false" outlineLevel="0" collapsed="false">
      <c r="A35" s="10" t="s">
        <v>266</v>
      </c>
      <c r="B35" s="30" t="n">
        <f aca="false">SUM(B31:B34)</f>
        <v>18369.3</v>
      </c>
    </row>
    <row r="36" customFormat="false" ht="15" hidden="false" customHeight="false" outlineLevel="0" collapsed="false">
      <c r="A36" s="18" t="s">
        <v>267</v>
      </c>
      <c r="B36" s="19"/>
      <c r="C36" s="19"/>
    </row>
    <row r="37" customFormat="false" ht="15" hidden="false" customHeight="false" outlineLevel="0" collapsed="false">
      <c r="A37" s="10" t="s">
        <v>268</v>
      </c>
      <c r="B37" s="30" t="n">
        <f aca="false">B38+B39</f>
        <v>4838</v>
      </c>
    </row>
    <row r="38" customFormat="false" ht="15" hidden="false" customHeight="false" outlineLevel="0" collapsed="false">
      <c r="A38" s="4" t="s">
        <v>269</v>
      </c>
      <c r="B38" s="26" t="n">
        <v>2338</v>
      </c>
      <c r="C38" s="4" t="s">
        <v>230</v>
      </c>
    </row>
    <row r="39" customFormat="false" ht="15" hidden="false" customHeight="false" outlineLevel="0" collapsed="false">
      <c r="A39" s="4" t="s">
        <v>270</v>
      </c>
      <c r="B39" s="26" t="n">
        <v>2500</v>
      </c>
      <c r="C39" s="4" t="s">
        <v>271</v>
      </c>
    </row>
    <row r="41" customFormat="false" ht="15" hidden="false" customHeight="false" outlineLevel="0" collapsed="false">
      <c r="A41" s="4" t="s">
        <v>272</v>
      </c>
      <c r="B41" s="13" t="n">
        <f aca="false">0.1*(B17+B24+B29+B35+B37)</f>
        <v>3444.931</v>
      </c>
    </row>
    <row r="42" customFormat="false" ht="15" hidden="false" customHeight="false" outlineLevel="0" collapsed="false">
      <c r="A42" s="10" t="s">
        <v>273</v>
      </c>
      <c r="B42" s="30" t="n">
        <f aca="false">B17+B24+B29+B35+B37+B41</f>
        <v>37894.241</v>
      </c>
    </row>
    <row r="44" customFormat="false" ht="15" hidden="false" customHeight="false" outlineLevel="0" collapsed="false">
      <c r="A44" s="18" t="s">
        <v>274</v>
      </c>
      <c r="B44" s="19"/>
      <c r="C44" s="19"/>
    </row>
    <row r="45" customFormat="false" ht="15" hidden="false" customHeight="false" outlineLevel="0" collapsed="false">
      <c r="A45" s="5" t="s">
        <v>275</v>
      </c>
      <c r="B45" s="5" t="s">
        <v>276</v>
      </c>
      <c r="C45" s="5" t="s">
        <v>114</v>
      </c>
    </row>
    <row r="46" customFormat="false" ht="15" hidden="false" customHeight="false" outlineLevel="0" collapsed="false">
      <c r="A46" s="4" t="s">
        <v>277</v>
      </c>
      <c r="B46" s="26" t="n">
        <v>25000</v>
      </c>
      <c r="C46" s="4" t="s">
        <v>278</v>
      </c>
    </row>
    <row r="47" customFormat="false" ht="15" hidden="false" customHeight="false" outlineLevel="0" collapsed="false">
      <c r="A47" s="4" t="s">
        <v>279</v>
      </c>
      <c r="B47" s="13" t="n">
        <f aca="false">MAX(0,CEILING(B42-B46,500))</f>
        <v>13000</v>
      </c>
      <c r="C47" s="4" t="s">
        <v>280</v>
      </c>
    </row>
    <row r="48" customFormat="false" ht="15" hidden="false" customHeight="false" outlineLevel="0" collapsed="false">
      <c r="A48" s="4" t="s">
        <v>281</v>
      </c>
      <c r="B48" s="27" t="n">
        <v>0.35</v>
      </c>
      <c r="C48" s="4" t="s">
        <v>282</v>
      </c>
    </row>
    <row r="49" customFormat="false" ht="15" hidden="false" customHeight="false" outlineLevel="0" collapsed="false">
      <c r="A49" s="4" t="s">
        <v>283</v>
      </c>
      <c r="B49" s="25" t="n">
        <v>24</v>
      </c>
      <c r="C49" s="4" t="s">
        <v>284</v>
      </c>
    </row>
    <row r="50" customFormat="false" ht="15" hidden="false" customHeight="false" outlineLevel="0" collapsed="false">
      <c r="A50" s="4" t="s">
        <v>285</v>
      </c>
      <c r="B50" s="13" t="n">
        <f aca="false">PMT((1+B48)^(1/12)-1,B49,-B47)</f>
        <v>729.471399828276</v>
      </c>
    </row>
    <row r="51" customFormat="false" ht="15" hidden="false" customHeight="false" outlineLevel="0" collapsed="false">
      <c r="A51" s="4" t="s">
        <v>286</v>
      </c>
      <c r="B51" s="13" t="n">
        <f aca="false">B50*B49-B47</f>
        <v>4507.31359587862</v>
      </c>
    </row>
    <row r="52" customFormat="false" ht="15" hidden="false" customHeight="false" outlineLevel="0" collapsed="false">
      <c r="A52" s="4" t="s">
        <v>287</v>
      </c>
      <c r="B52" s="13" t="n">
        <f aca="false">B46+B47-B42</f>
        <v>105.759000000005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13" min="2" style="0" width="12"/>
    <col collapsed="false" customWidth="true" hidden="false" outlineLevel="0" max="14" min="14" style="0" width="13"/>
  </cols>
  <sheetData>
    <row r="1" customFormat="false" ht="17.35" hidden="false" customHeight="false" outlineLevel="0" collapsed="false">
      <c r="A1" s="1" t="s">
        <v>288</v>
      </c>
    </row>
    <row r="2" customFormat="false" ht="15" hidden="false" customHeight="false" outlineLevel="0" collapsed="false">
      <c r="A2" s="4" t="s">
        <v>289</v>
      </c>
    </row>
    <row r="4" customFormat="false" ht="30" hidden="false" customHeight="true" outlineLevel="0" collapsed="false">
      <c r="A4" s="5" t="s">
        <v>290</v>
      </c>
      <c r="B4" s="5" t="s">
        <v>291</v>
      </c>
      <c r="C4" s="5" t="s">
        <v>292</v>
      </c>
      <c r="D4" s="5" t="s">
        <v>293</v>
      </c>
      <c r="E4" s="5" t="s">
        <v>294</v>
      </c>
      <c r="F4" s="5" t="s">
        <v>295</v>
      </c>
      <c r="G4" s="5" t="s">
        <v>296</v>
      </c>
      <c r="H4" s="5" t="s">
        <v>297</v>
      </c>
      <c r="I4" s="5" t="s">
        <v>298</v>
      </c>
      <c r="J4" s="5" t="s">
        <v>299</v>
      </c>
      <c r="K4" s="5" t="s">
        <v>300</v>
      </c>
      <c r="L4" s="5" t="s">
        <v>301</v>
      </c>
      <c r="M4" s="5" t="s">
        <v>302</v>
      </c>
      <c r="N4" s="5" t="s">
        <v>303</v>
      </c>
    </row>
    <row r="5" customFormat="false" ht="15" hidden="false" customHeight="false" outlineLevel="0" collapsed="false">
      <c r="A5" s="4" t="s">
        <v>304</v>
      </c>
      <c r="B5" s="25" t="n">
        <v>1</v>
      </c>
      <c r="C5" s="25" t="n">
        <v>2</v>
      </c>
      <c r="D5" s="25" t="n">
        <v>2</v>
      </c>
      <c r="E5" s="25" t="n">
        <v>2</v>
      </c>
      <c r="F5" s="25" t="n">
        <v>2</v>
      </c>
      <c r="G5" s="25" t="n">
        <v>2</v>
      </c>
      <c r="H5" s="25" t="n">
        <v>2</v>
      </c>
      <c r="I5" s="25" t="n">
        <v>3</v>
      </c>
      <c r="J5" s="25" t="n">
        <v>3</v>
      </c>
      <c r="K5" s="25" t="n">
        <v>3</v>
      </c>
      <c r="L5" s="25" t="n">
        <v>3</v>
      </c>
      <c r="M5" s="25" t="n">
        <v>3</v>
      </c>
      <c r="N5" s="15" t="n">
        <f aca="false">SUM(B5:M5)</f>
        <v>28</v>
      </c>
    </row>
    <row r="6" customFormat="false" ht="15" hidden="false" customHeight="false" outlineLevel="0" collapsed="false">
      <c r="A6" s="4" t="s">
        <v>305</v>
      </c>
      <c r="B6" s="25" t="n">
        <v>9</v>
      </c>
      <c r="C6" s="25" t="n">
        <v>9</v>
      </c>
      <c r="D6" s="25" t="n">
        <v>9</v>
      </c>
      <c r="E6" s="25" t="n">
        <v>9</v>
      </c>
      <c r="F6" s="25" t="n">
        <v>9</v>
      </c>
      <c r="G6" s="25" t="n">
        <v>9</v>
      </c>
      <c r="H6" s="25" t="n">
        <v>10</v>
      </c>
      <c r="I6" s="25" t="n">
        <v>9</v>
      </c>
      <c r="J6" s="25" t="n">
        <v>9</v>
      </c>
      <c r="K6" s="25" t="n">
        <v>9</v>
      </c>
      <c r="L6" s="25" t="n">
        <v>9</v>
      </c>
      <c r="M6" s="25" t="n">
        <v>12</v>
      </c>
      <c r="N6" s="15" t="n">
        <f aca="false">SUM(B6:M6)</f>
        <v>112</v>
      </c>
    </row>
    <row r="7" customFormat="false" ht="15" hidden="false" customHeight="false" outlineLevel="0" collapsed="false">
      <c r="A7" s="4" t="s">
        <v>306</v>
      </c>
      <c r="B7" s="25" t="n">
        <v>50</v>
      </c>
      <c r="C7" s="25" t="n">
        <v>80</v>
      </c>
      <c r="D7" s="25" t="n">
        <v>100</v>
      </c>
      <c r="E7" s="25" t="n">
        <v>80</v>
      </c>
      <c r="F7" s="25" t="n">
        <v>85</v>
      </c>
      <c r="G7" s="25" t="n">
        <v>80</v>
      </c>
      <c r="H7" s="25" t="n">
        <v>85</v>
      </c>
      <c r="I7" s="25" t="n">
        <v>85</v>
      </c>
      <c r="J7" s="25" t="n">
        <v>90</v>
      </c>
      <c r="K7" s="25" t="n">
        <v>90</v>
      </c>
      <c r="L7" s="25" t="n">
        <v>90</v>
      </c>
      <c r="M7" s="25" t="n">
        <v>90</v>
      </c>
      <c r="N7" s="15" t="n">
        <f aca="false">SUM(B7:M7)</f>
        <v>1005</v>
      </c>
    </row>
    <row r="8" customFormat="false" ht="15" hidden="false" customHeight="false" outlineLevel="0" collapsed="false">
      <c r="A8" s="4" t="s">
        <v>307</v>
      </c>
      <c r="B8" s="25" t="n">
        <v>0</v>
      </c>
      <c r="C8" s="25" t="n">
        <v>1</v>
      </c>
      <c r="D8" s="25" t="n">
        <v>0</v>
      </c>
      <c r="E8" s="25" t="n">
        <v>0</v>
      </c>
      <c r="F8" s="25" t="n">
        <v>0</v>
      </c>
      <c r="G8" s="25" t="n">
        <v>0</v>
      </c>
      <c r="H8" s="25" t="n">
        <v>0</v>
      </c>
      <c r="I8" s="25" t="n">
        <v>0</v>
      </c>
      <c r="J8" s="25" t="n">
        <v>0</v>
      </c>
      <c r="K8" s="25" t="n">
        <v>0</v>
      </c>
      <c r="L8" s="25" t="n">
        <v>0</v>
      </c>
      <c r="M8" s="25" t="n">
        <v>2</v>
      </c>
      <c r="N8" s="15" t="n">
        <f aca="false">SUM(B8:M8)</f>
        <v>3</v>
      </c>
    </row>
    <row r="9" customFormat="false" ht="15" hidden="false" customHeight="false" outlineLevel="0" collapsed="false">
      <c r="A9" s="4" t="s">
        <v>308</v>
      </c>
      <c r="B9" s="25" t="n">
        <v>1</v>
      </c>
      <c r="C9" s="25" t="n">
        <v>2</v>
      </c>
      <c r="D9" s="25" t="n">
        <v>4</v>
      </c>
      <c r="E9" s="25" t="n">
        <v>4</v>
      </c>
      <c r="F9" s="25" t="n">
        <v>5</v>
      </c>
      <c r="G9" s="25" t="n">
        <v>4</v>
      </c>
      <c r="H9" s="25" t="n">
        <v>3</v>
      </c>
      <c r="I9" s="25" t="n">
        <v>4</v>
      </c>
      <c r="J9" s="25" t="n">
        <v>4</v>
      </c>
      <c r="K9" s="25" t="n">
        <v>4</v>
      </c>
      <c r="L9" s="25" t="n">
        <v>3</v>
      </c>
      <c r="M9" s="25" t="n">
        <v>2</v>
      </c>
      <c r="N9" s="15" t="n">
        <f aca="false">SUM(B9:M9)</f>
        <v>40</v>
      </c>
    </row>
    <row r="10" customFormat="false" ht="15" hidden="false" customHeight="false" outlineLevel="0" collapsed="false">
      <c r="A10" s="4" t="s">
        <v>309</v>
      </c>
      <c r="B10" s="29" t="n">
        <v>0</v>
      </c>
      <c r="C10" s="29" t="n">
        <v>0</v>
      </c>
      <c r="D10" s="29" t="n">
        <v>300</v>
      </c>
      <c r="E10" s="29" t="n">
        <v>600</v>
      </c>
      <c r="F10" s="29" t="n">
        <v>765</v>
      </c>
      <c r="G10" s="29" t="n">
        <v>900</v>
      </c>
      <c r="H10" s="29" t="n">
        <v>600</v>
      </c>
      <c r="I10" s="29" t="n">
        <v>1200</v>
      </c>
      <c r="J10" s="29" t="n">
        <v>1200</v>
      </c>
      <c r="K10" s="29" t="n">
        <v>1500</v>
      </c>
      <c r="L10" s="29" t="n">
        <v>1500</v>
      </c>
      <c r="M10" s="29" t="n">
        <v>600</v>
      </c>
      <c r="N10" s="15" t="n">
        <f aca="false">SUM(B10:M10)</f>
        <v>9165</v>
      </c>
    </row>
    <row r="11" customFormat="false" ht="15" hidden="false" customHeight="false" outlineLevel="0" collapsed="false">
      <c r="A11" s="4" t="s">
        <v>310</v>
      </c>
      <c r="B11" s="29" t="n">
        <v>120</v>
      </c>
      <c r="C11" s="29" t="n">
        <v>180</v>
      </c>
      <c r="D11" s="29" t="n">
        <v>180</v>
      </c>
      <c r="E11" s="29" t="n">
        <v>240</v>
      </c>
      <c r="F11" s="29" t="n">
        <v>300</v>
      </c>
      <c r="G11" s="29" t="n">
        <v>300</v>
      </c>
      <c r="H11" s="29" t="n">
        <v>360</v>
      </c>
      <c r="I11" s="29" t="n">
        <v>360</v>
      </c>
      <c r="J11" s="29" t="n">
        <v>360</v>
      </c>
      <c r="K11" s="29" t="n">
        <v>420</v>
      </c>
      <c r="L11" s="29" t="n">
        <v>420</v>
      </c>
      <c r="M11" s="29" t="n">
        <v>480</v>
      </c>
      <c r="N11" s="15" t="n">
        <f aca="false">SUM(B11:M11)</f>
        <v>3720</v>
      </c>
    </row>
    <row r="13" customFormat="false" ht="30" hidden="false" customHeight="true" outlineLevel="0" collapsed="false">
      <c r="A13" s="5" t="s">
        <v>311</v>
      </c>
      <c r="B13" s="5" t="s">
        <v>291</v>
      </c>
      <c r="C13" s="5" t="s">
        <v>292</v>
      </c>
      <c r="D13" s="5" t="s">
        <v>293</v>
      </c>
      <c r="E13" s="5" t="s">
        <v>294</v>
      </c>
      <c r="F13" s="5" t="s">
        <v>295</v>
      </c>
      <c r="G13" s="5" t="s">
        <v>296</v>
      </c>
      <c r="H13" s="5" t="s">
        <v>297</v>
      </c>
      <c r="I13" s="5" t="s">
        <v>298</v>
      </c>
      <c r="J13" s="5" t="s">
        <v>299</v>
      </c>
      <c r="K13" s="5" t="s">
        <v>300</v>
      </c>
      <c r="L13" s="5" t="s">
        <v>301</v>
      </c>
      <c r="M13" s="5" t="s">
        <v>302</v>
      </c>
      <c r="N13" s="5" t="s">
        <v>303</v>
      </c>
    </row>
    <row r="14" customFormat="false" ht="15" hidden="false" customHeight="false" outlineLevel="0" collapsed="false">
      <c r="A14" s="4" t="s">
        <v>115</v>
      </c>
      <c r="B14" s="15" t="n">
        <f aca="false">B5*B6*B7</f>
        <v>450</v>
      </c>
      <c r="C14" s="15" t="n">
        <f aca="false">C5*C6*C7</f>
        <v>1440</v>
      </c>
      <c r="D14" s="15" t="n">
        <f aca="false">D5*D6*D7</f>
        <v>1800</v>
      </c>
      <c r="E14" s="15" t="n">
        <f aca="false">E5*E6*E7</f>
        <v>1440</v>
      </c>
      <c r="F14" s="15" t="n">
        <f aca="false">F5*F6*F7</f>
        <v>1530</v>
      </c>
      <c r="G14" s="15" t="n">
        <f aca="false">G5*G6*G7</f>
        <v>1440</v>
      </c>
      <c r="H14" s="15" t="n">
        <f aca="false">H5*H6*H7</f>
        <v>1700</v>
      </c>
      <c r="I14" s="15" t="n">
        <f aca="false">I5*I6*I7</f>
        <v>2295</v>
      </c>
      <c r="J14" s="15" t="n">
        <f aca="false">J5*J6*J7</f>
        <v>2430</v>
      </c>
      <c r="K14" s="15" t="n">
        <f aca="false">K5*K6*K7</f>
        <v>2430</v>
      </c>
      <c r="L14" s="15" t="n">
        <f aca="false">L5*L6*L7</f>
        <v>2430</v>
      </c>
      <c r="M14" s="15" t="n">
        <f aca="false">M5*M6*M7</f>
        <v>3240</v>
      </c>
      <c r="N14" s="15" t="n">
        <f aca="false">SUM(B14:M14)</f>
        <v>22625</v>
      </c>
    </row>
    <row r="15" customFormat="false" ht="15" hidden="false" customHeight="false" outlineLevel="0" collapsed="false">
      <c r="A15" s="4" t="s">
        <v>117</v>
      </c>
      <c r="B15" s="15" t="n">
        <f aca="false">B8*Supuestos!$B$61+B9*Supuestos!$B$62</f>
        <v>150</v>
      </c>
      <c r="C15" s="15" t="n">
        <f aca="false">C8*Supuestos!$B$61+C9*Supuestos!$B$62</f>
        <v>1000</v>
      </c>
      <c r="D15" s="15" t="n">
        <f aca="false">D8*Supuestos!$B$61+D9*Supuestos!$B$62</f>
        <v>600</v>
      </c>
      <c r="E15" s="15" t="n">
        <f aca="false">E8*Supuestos!$B$61+E9*Supuestos!$B$62</f>
        <v>600</v>
      </c>
      <c r="F15" s="15" t="n">
        <f aca="false">F8*Supuestos!$B$61+F9*Supuestos!$B$62</f>
        <v>750</v>
      </c>
      <c r="G15" s="15" t="n">
        <f aca="false">G8*Supuestos!$B$61+G9*Supuestos!$B$62</f>
        <v>600</v>
      </c>
      <c r="H15" s="15" t="n">
        <f aca="false">H8*Supuestos!$B$61+H9*Supuestos!$B$62</f>
        <v>450</v>
      </c>
      <c r="I15" s="15" t="n">
        <f aca="false">I8*Supuestos!$B$61+I9*Supuestos!$B$62</f>
        <v>600</v>
      </c>
      <c r="J15" s="15" t="n">
        <f aca="false">J8*Supuestos!$B$61+J9*Supuestos!$B$62</f>
        <v>600</v>
      </c>
      <c r="K15" s="15" t="n">
        <f aca="false">K8*Supuestos!$B$61+K9*Supuestos!$B$62</f>
        <v>600</v>
      </c>
      <c r="L15" s="15" t="n">
        <f aca="false">L8*Supuestos!$B$61+L9*Supuestos!$B$62</f>
        <v>450</v>
      </c>
      <c r="M15" s="15" t="n">
        <f aca="false">M8*Supuestos!$B$61+M9*Supuestos!$B$62</f>
        <v>1700</v>
      </c>
      <c r="N15" s="15" t="n">
        <f aca="false">SUM(B15:M15)</f>
        <v>8100</v>
      </c>
    </row>
    <row r="16" customFormat="false" ht="15" hidden="false" customHeight="false" outlineLevel="0" collapsed="false">
      <c r="A16" s="4" t="s">
        <v>119</v>
      </c>
      <c r="B16" s="8" t="n">
        <f aca="false">Supuestos!$B$64</f>
        <v>150</v>
      </c>
      <c r="C16" s="8" t="n">
        <f aca="false">ROUND(Supuestos!$B$63*(B14+B15),0)</f>
        <v>210</v>
      </c>
      <c r="D16" s="8" t="n">
        <f aca="false">ROUND(Supuestos!$B$63*(C14+C15),0)</f>
        <v>854</v>
      </c>
      <c r="E16" s="8" t="n">
        <f aca="false">ROUND(Supuestos!$B$63*(D14+D15),0)</f>
        <v>840</v>
      </c>
      <c r="F16" s="8" t="n">
        <f aca="false">ROUND(Supuestos!$B$63*(E14+E15),0)</f>
        <v>714</v>
      </c>
      <c r="G16" s="8" t="n">
        <f aca="false">ROUND(Supuestos!$B$63*(F14+F15),0)</f>
        <v>798</v>
      </c>
      <c r="H16" s="8" t="n">
        <f aca="false">ROUND(Supuestos!$B$63*(G14+G15),0)</f>
        <v>714</v>
      </c>
      <c r="I16" s="8" t="n">
        <f aca="false">ROUND(Supuestos!$B$63*(H14+H15),0)</f>
        <v>753</v>
      </c>
      <c r="J16" s="8" t="n">
        <f aca="false">ROUND(Supuestos!$B$63*(I14+I15),0)</f>
        <v>1013</v>
      </c>
      <c r="K16" s="8" t="n">
        <f aca="false">ROUND(Supuestos!$B$63*(J14+J15),0)</f>
        <v>1061</v>
      </c>
      <c r="L16" s="8" t="n">
        <f aca="false">ROUND(Supuestos!$B$63*(K14+K15),0)</f>
        <v>1061</v>
      </c>
      <c r="M16" s="8" t="n">
        <f aca="false">ROUND(Supuestos!$B$63*(L14+L15),0)</f>
        <v>1008</v>
      </c>
      <c r="N16" s="15" t="n">
        <f aca="false">SUM(B16:M16)</f>
        <v>9176</v>
      </c>
    </row>
    <row r="17" customFormat="false" ht="15" hidden="false" customHeight="false" outlineLevel="0" collapsed="false">
      <c r="A17" s="4" t="s">
        <v>121</v>
      </c>
      <c r="B17" s="15" t="n">
        <f aca="false">B10</f>
        <v>0</v>
      </c>
      <c r="C17" s="15" t="n">
        <f aca="false">C10</f>
        <v>0</v>
      </c>
      <c r="D17" s="15" t="n">
        <f aca="false">D10</f>
        <v>300</v>
      </c>
      <c r="E17" s="15" t="n">
        <f aca="false">E10</f>
        <v>600</v>
      </c>
      <c r="F17" s="15" t="n">
        <f aca="false">F10</f>
        <v>765</v>
      </c>
      <c r="G17" s="15" t="n">
        <f aca="false">G10</f>
        <v>900</v>
      </c>
      <c r="H17" s="15" t="n">
        <f aca="false">H10</f>
        <v>600</v>
      </c>
      <c r="I17" s="15" t="n">
        <f aca="false">I10</f>
        <v>1200</v>
      </c>
      <c r="J17" s="15" t="n">
        <f aca="false">J10</f>
        <v>1200</v>
      </c>
      <c r="K17" s="15" t="n">
        <f aca="false">K10</f>
        <v>1500</v>
      </c>
      <c r="L17" s="15" t="n">
        <f aca="false">L10</f>
        <v>1500</v>
      </c>
      <c r="M17" s="15" t="n">
        <f aca="false">M10</f>
        <v>600</v>
      </c>
      <c r="N17" s="15" t="n">
        <f aca="false">SUM(B17:M17)</f>
        <v>9165</v>
      </c>
    </row>
    <row r="18" customFormat="false" ht="15" hidden="false" customHeight="false" outlineLevel="0" collapsed="false">
      <c r="A18" s="4" t="s">
        <v>123</v>
      </c>
      <c r="B18" s="15" t="n">
        <f aca="false">B11</f>
        <v>120</v>
      </c>
      <c r="C18" s="15" t="n">
        <f aca="false">C11</f>
        <v>180</v>
      </c>
      <c r="D18" s="15" t="n">
        <f aca="false">D11</f>
        <v>180</v>
      </c>
      <c r="E18" s="15" t="n">
        <f aca="false">E11</f>
        <v>240</v>
      </c>
      <c r="F18" s="15" t="n">
        <f aca="false">F11</f>
        <v>300</v>
      </c>
      <c r="G18" s="15" t="n">
        <f aca="false">G11</f>
        <v>300</v>
      </c>
      <c r="H18" s="15" t="n">
        <f aca="false">H11</f>
        <v>360</v>
      </c>
      <c r="I18" s="15" t="n">
        <f aca="false">I11</f>
        <v>360</v>
      </c>
      <c r="J18" s="15" t="n">
        <f aca="false">J11</f>
        <v>360</v>
      </c>
      <c r="K18" s="15" t="n">
        <f aca="false">K11</f>
        <v>420</v>
      </c>
      <c r="L18" s="15" t="n">
        <f aca="false">L11</f>
        <v>420</v>
      </c>
      <c r="M18" s="15" t="n">
        <f aca="false">M11</f>
        <v>480</v>
      </c>
      <c r="N18" s="15" t="n">
        <f aca="false">SUM(B18:M18)</f>
        <v>3720</v>
      </c>
    </row>
    <row r="19" customFormat="false" ht="15" hidden="false" customHeight="false" outlineLevel="0" collapsed="false">
      <c r="A19" s="10" t="s">
        <v>312</v>
      </c>
      <c r="B19" s="31" t="n">
        <f aca="false">SUM(B14:B18)</f>
        <v>870</v>
      </c>
      <c r="C19" s="31" t="n">
        <f aca="false">SUM(C14:C18)</f>
        <v>2830</v>
      </c>
      <c r="D19" s="31" t="n">
        <f aca="false">SUM(D14:D18)</f>
        <v>3734</v>
      </c>
      <c r="E19" s="31" t="n">
        <f aca="false">SUM(E14:E18)</f>
        <v>3720</v>
      </c>
      <c r="F19" s="31" t="n">
        <f aca="false">SUM(F14:F18)</f>
        <v>4059</v>
      </c>
      <c r="G19" s="31" t="n">
        <f aca="false">SUM(G14:G18)</f>
        <v>4038</v>
      </c>
      <c r="H19" s="31" t="n">
        <f aca="false">SUM(H14:H18)</f>
        <v>3824</v>
      </c>
      <c r="I19" s="31" t="n">
        <f aca="false">SUM(I14:I18)</f>
        <v>5208</v>
      </c>
      <c r="J19" s="31" t="n">
        <f aca="false">SUM(J14:J18)</f>
        <v>5603</v>
      </c>
      <c r="K19" s="31" t="n">
        <f aca="false">SUM(K14:K18)</f>
        <v>6011</v>
      </c>
      <c r="L19" s="31" t="n">
        <f aca="false">SUM(L14:L18)</f>
        <v>5861</v>
      </c>
      <c r="M19" s="31" t="n">
        <f aca="false">SUM(M14:M18)</f>
        <v>7028</v>
      </c>
      <c r="N19" s="31" t="n">
        <f aca="false">SUM(N14:N18)</f>
        <v>52786</v>
      </c>
    </row>
    <row r="21" customFormat="false" ht="15" hidden="false" customHeight="false" outlineLevel="0" collapsed="false">
      <c r="A21" s="18" t="s">
        <v>313</v>
      </c>
      <c r="B21" s="19"/>
      <c r="C21" s="19"/>
      <c r="D21" s="19"/>
      <c r="E21" s="19"/>
      <c r="F21" s="19"/>
      <c r="G21" s="19"/>
      <c r="H21" s="19"/>
      <c r="I21" s="19"/>
      <c r="J21" s="19"/>
      <c r="K21" s="19"/>
      <c r="L21" s="19"/>
      <c r="M21" s="19"/>
      <c r="N21" s="19"/>
    </row>
    <row r="22" customFormat="false" ht="15" hidden="false" customHeight="false" outlineLevel="0" collapsed="false">
      <c r="A22" s="4" t="s">
        <v>314</v>
      </c>
      <c r="B22" s="8" t="n">
        <f aca="false">SUMPRODUCT(B$14:B$18,Supuestos!$B$48:$B$52)</f>
        <v>390</v>
      </c>
      <c r="C22" s="8" t="n">
        <f aca="false">SUMPRODUCT(C$14:C$18,Supuestos!$B$48:$B$52)</f>
        <v>1585</v>
      </c>
      <c r="D22" s="8" t="n">
        <f aca="false">SUMPRODUCT(D$14:D$18,Supuestos!$B$48:$B$52)</f>
        <v>1885.4</v>
      </c>
      <c r="E22" s="8" t="n">
        <f aca="false">SUMPRODUCT(E$14:E$18,Supuestos!$B$48:$B$52)</f>
        <v>1968</v>
      </c>
      <c r="F22" s="8" t="n">
        <f aca="false">SUMPRODUCT(F$14:F$18,Supuestos!$B$48:$B$52)</f>
        <v>2279.4</v>
      </c>
      <c r="G22" s="8" t="n">
        <f aca="false">SUMPRODUCT(G$14:G$18,Supuestos!$B$48:$B$52)</f>
        <v>2263.8</v>
      </c>
      <c r="H22" s="8" t="n">
        <f aca="false">SUMPRODUCT(H$14:H$18,Supuestos!$B$48:$B$52)</f>
        <v>2006.4</v>
      </c>
      <c r="I22" s="8" t="n">
        <f aca="false">SUMPRODUCT(I$14:I$18,Supuestos!$B$48:$B$52)</f>
        <v>3072.3</v>
      </c>
      <c r="J22" s="8" t="n">
        <f aca="false">SUMPRODUCT(J$14:J$18,Supuestos!$B$48:$B$52)</f>
        <v>3179.3</v>
      </c>
      <c r="K22" s="8" t="n">
        <f aca="false">SUMPRODUCT(K$14:K$18,Supuestos!$B$48:$B$52)</f>
        <v>3484.1</v>
      </c>
      <c r="L22" s="8" t="n">
        <f aca="false">SUMPRODUCT(L$14:L$18,Supuestos!$B$48:$B$52)</f>
        <v>3379.1</v>
      </c>
      <c r="M22" s="8" t="n">
        <f aca="false">SUMPRODUCT(M$14:M$18,Supuestos!$B$48:$B$52)</f>
        <v>3834.8</v>
      </c>
      <c r="N22" s="15" t="n">
        <f aca="false">SUM(B22:M22)</f>
        <v>29327.6</v>
      </c>
    </row>
    <row r="23" customFormat="false" ht="15" hidden="false" customHeight="false" outlineLevel="0" collapsed="false">
      <c r="A23" s="4" t="s">
        <v>315</v>
      </c>
      <c r="B23" s="8" t="n">
        <f aca="false">SUMPRODUCT(B$14:B$18,Supuestos!$C$48:$C$52)</f>
        <v>412.5</v>
      </c>
      <c r="C23" s="8" t="n">
        <f aca="false">SUMPRODUCT(C$14:C$18,Supuestos!$C$48:$C$52)</f>
        <v>1110</v>
      </c>
      <c r="D23" s="8" t="n">
        <f aca="false">SUMPRODUCT(D$14:D$18,Supuestos!$C$48:$C$52)</f>
        <v>1502.4</v>
      </c>
      <c r="E23" s="8" t="n">
        <f aca="false">SUMPRODUCT(E$14:E$18,Supuestos!$C$48:$C$52)</f>
        <v>1428</v>
      </c>
      <c r="F23" s="8" t="n">
        <f aca="false">SUMPRODUCT(F$14:F$18,Supuestos!$C$48:$C$52)</f>
        <v>1488.9</v>
      </c>
      <c r="G23" s="8" t="n">
        <f aca="false">SUMPRODUCT(G$14:G$18,Supuestos!$C$48:$C$52)</f>
        <v>1462.8</v>
      </c>
      <c r="H23" s="8" t="n">
        <f aca="false">SUMPRODUCT(H$14:H$18,Supuestos!$C$48:$C$52)</f>
        <v>1518.4</v>
      </c>
      <c r="I23" s="8" t="n">
        <f aca="false">SUMPRODUCT(I$14:I$18,Supuestos!$C$48:$C$52)</f>
        <v>1795.05</v>
      </c>
      <c r="J23" s="8" t="n">
        <f aca="false">SUMPRODUCT(J$14:J$18,Supuestos!$C$48:$C$52)</f>
        <v>1998.3</v>
      </c>
      <c r="K23" s="8" t="n">
        <f aca="false">SUMPRODUCT(K$14:K$18,Supuestos!$C$48:$C$52)</f>
        <v>2087.1</v>
      </c>
      <c r="L23" s="8" t="n">
        <f aca="false">SUMPRODUCT(L$14:L$18,Supuestos!$C$48:$C$52)</f>
        <v>2042.1</v>
      </c>
      <c r="M23" s="8" t="n">
        <f aca="false">SUMPRODUCT(M$14:M$18,Supuestos!$C$48:$C$52)</f>
        <v>2728.8</v>
      </c>
      <c r="N23" s="15" t="n">
        <f aca="false">SUM(B23:M23)</f>
        <v>19574.35</v>
      </c>
    </row>
    <row r="24" customFormat="false" ht="15" hidden="false" customHeight="false" outlineLevel="0" collapsed="false">
      <c r="A24" s="4" t="s">
        <v>316</v>
      </c>
      <c r="B24" s="8" t="n">
        <f aca="false">SUMPRODUCT(B$14:B$18,Supuestos!$D$48:$D$52)</f>
        <v>67.5</v>
      </c>
      <c r="C24" s="8" t="n">
        <f aca="false">SUMPRODUCT(C$14:C$18,Supuestos!$D$48:$D$52)</f>
        <v>135</v>
      </c>
      <c r="D24" s="8" t="n">
        <f aca="false">SUMPRODUCT(D$14:D$18,Supuestos!$D$48:$D$52)</f>
        <v>346.2</v>
      </c>
      <c r="E24" s="8" t="n">
        <f aca="false">SUMPRODUCT(E$14:E$18,Supuestos!$D$48:$D$52)</f>
        <v>324</v>
      </c>
      <c r="F24" s="8" t="n">
        <f aca="false">SUMPRODUCT(F$14:F$18,Supuestos!$D$48:$D$52)</f>
        <v>290.7</v>
      </c>
      <c r="G24" s="8" t="n">
        <f aca="false">SUMPRODUCT(G$14:G$18,Supuestos!$D$48:$D$52)</f>
        <v>311.4</v>
      </c>
      <c r="H24" s="8" t="n">
        <f aca="false">SUMPRODUCT(H$14:H$18,Supuestos!$D$48:$D$52)</f>
        <v>299.2</v>
      </c>
      <c r="I24" s="8" t="n">
        <f aca="false">SUMPRODUCT(I$14:I$18,Supuestos!$D$48:$D$52)</f>
        <v>340.65</v>
      </c>
      <c r="J24" s="8" t="n">
        <f aca="false">SUMPRODUCT(J$14:J$18,Supuestos!$D$48:$D$52)</f>
        <v>425.4</v>
      </c>
      <c r="K24" s="8" t="n">
        <f aca="false">SUMPRODUCT(K$14:K$18,Supuestos!$D$48:$D$52)</f>
        <v>439.8</v>
      </c>
      <c r="L24" s="8" t="n">
        <f aca="false">SUMPRODUCT(L$14:L$18,Supuestos!$D$48:$D$52)</f>
        <v>439.8</v>
      </c>
      <c r="M24" s="8" t="n">
        <f aca="false">SUMPRODUCT(M$14:M$18,Supuestos!$D$48:$D$52)</f>
        <v>464.4</v>
      </c>
      <c r="N24" s="15" t="n">
        <f aca="false">SUM(B24:M24)</f>
        <v>3884.05</v>
      </c>
    </row>
    <row r="25" customFormat="false" ht="15" hidden="false" customHeight="false" outlineLevel="0" collapsed="false">
      <c r="A25" s="4" t="s">
        <v>317</v>
      </c>
      <c r="B25" s="15" t="n">
        <f aca="false">B23/Costeo!$C$5</f>
        <v>68.75</v>
      </c>
      <c r="C25" s="15" t="n">
        <f aca="false">C23/Costeo!$C$5</f>
        <v>185</v>
      </c>
      <c r="D25" s="15" t="n">
        <f aca="false">D23/Costeo!$C$5</f>
        <v>250.4</v>
      </c>
      <c r="E25" s="15" t="n">
        <f aca="false">E23/Costeo!$C$5</f>
        <v>238</v>
      </c>
      <c r="F25" s="15" t="n">
        <f aca="false">F23/Costeo!$C$5</f>
        <v>248.15</v>
      </c>
      <c r="G25" s="15" t="n">
        <f aca="false">G23/Costeo!$C$5</f>
        <v>243.8</v>
      </c>
      <c r="H25" s="15" t="n">
        <f aca="false">H23/Costeo!$C$5</f>
        <v>253.066666666667</v>
      </c>
      <c r="I25" s="15" t="n">
        <f aca="false">I23/Costeo!$C$5</f>
        <v>299.175</v>
      </c>
      <c r="J25" s="15" t="n">
        <f aca="false">J23/Costeo!$C$5</f>
        <v>333.05</v>
      </c>
      <c r="K25" s="15" t="n">
        <f aca="false">K23/Costeo!$C$5</f>
        <v>347.85</v>
      </c>
      <c r="L25" s="15" t="n">
        <f aca="false">L23/Costeo!$C$5</f>
        <v>340.35</v>
      </c>
      <c r="M25" s="15" t="n">
        <f aca="false">M23/Costeo!$C$5</f>
        <v>454.8</v>
      </c>
      <c r="N25" s="15" t="n">
        <f aca="false">SUM(B25:M25)</f>
        <v>3262.39166666667</v>
      </c>
    </row>
    <row r="26" customFormat="false" ht="15" hidden="false" customHeight="false" outlineLevel="0" collapsed="false">
      <c r="A26" s="4" t="s">
        <v>318</v>
      </c>
      <c r="B26" s="15" t="n">
        <f aca="false">B24/Costeo!$E$5</f>
        <v>5.625</v>
      </c>
      <c r="C26" s="15" t="n">
        <f aca="false">C24/Costeo!$E$5</f>
        <v>11.25</v>
      </c>
      <c r="D26" s="15" t="n">
        <f aca="false">D24/Costeo!$E$5</f>
        <v>28.85</v>
      </c>
      <c r="E26" s="15" t="n">
        <f aca="false">E24/Costeo!$E$5</f>
        <v>27</v>
      </c>
      <c r="F26" s="15" t="n">
        <f aca="false">F24/Costeo!$E$5</f>
        <v>24.225</v>
      </c>
      <c r="G26" s="15" t="n">
        <f aca="false">G24/Costeo!$E$5</f>
        <v>25.95</v>
      </c>
      <c r="H26" s="15" t="n">
        <f aca="false">H24/Costeo!$E$5</f>
        <v>24.9333333333333</v>
      </c>
      <c r="I26" s="15" t="n">
        <f aca="false">I24/Costeo!$E$5</f>
        <v>28.3875</v>
      </c>
      <c r="J26" s="15" t="n">
        <f aca="false">J24/Costeo!$E$5</f>
        <v>35.45</v>
      </c>
      <c r="K26" s="15" t="n">
        <f aca="false">K24/Costeo!$E$5</f>
        <v>36.65</v>
      </c>
      <c r="L26" s="15" t="n">
        <f aca="false">L24/Costeo!$E$5</f>
        <v>36.65</v>
      </c>
      <c r="M26" s="15" t="n">
        <f aca="false">M24/Costeo!$E$5</f>
        <v>38.7</v>
      </c>
      <c r="N26" s="15" t="n">
        <f aca="false">SUM(B26:M26)</f>
        <v>323.670833333333</v>
      </c>
    </row>
    <row r="28" customFormat="false" ht="15" hidden="false" customHeight="false" outlineLevel="0" collapsed="false">
      <c r="A28" s="18" t="s">
        <v>319</v>
      </c>
      <c r="B28" s="19"/>
      <c r="C28" s="19"/>
      <c r="D28" s="19"/>
      <c r="E28" s="19"/>
      <c r="F28" s="19"/>
      <c r="G28" s="19"/>
      <c r="H28" s="19"/>
      <c r="I28" s="19"/>
      <c r="J28" s="19"/>
      <c r="K28" s="19"/>
      <c r="L28" s="19"/>
      <c r="M28" s="19"/>
      <c r="N28" s="19"/>
    </row>
    <row r="29" customFormat="false" ht="15" hidden="false" customHeight="false" outlineLevel="0" collapsed="false">
      <c r="A29" s="4" t="s">
        <v>38</v>
      </c>
      <c r="B29" s="9" t="n">
        <f aca="false">SUMPRODUCT(B$14:B$18,Proyeccion!$H$25:$H$29)</f>
        <v>3986.175</v>
      </c>
      <c r="C29" s="9" t="n">
        <f aca="false">SUMPRODUCT(C$14:C$18,Proyeccion!$H$25:$H$29)</f>
        <v>13747.325</v>
      </c>
      <c r="D29" s="9" t="n">
        <f aca="false">SUMPRODUCT(D$14:D$18,Proyeccion!$H$25:$H$29)</f>
        <v>17009.575</v>
      </c>
      <c r="E29" s="9" t="n">
        <f aca="false">SUMPRODUCT(E$14:E$18,Proyeccion!$H$25:$H$29)</f>
        <v>16220.1</v>
      </c>
      <c r="F29" s="9" t="n">
        <f aca="false">SUMPRODUCT(F$14:F$18,Proyeccion!$H$25:$H$29)</f>
        <v>17600.625</v>
      </c>
      <c r="G29" s="9" t="n">
        <f aca="false">SUMPRODUCT(G$14:G$18,Proyeccion!$H$25:$H$29)</f>
        <v>17122.875</v>
      </c>
      <c r="H29" s="9" t="n">
        <f aca="false">SUMPRODUCT(H$14:H$18,Proyeccion!$H$25:$H$29)</f>
        <v>16586.8583333333</v>
      </c>
      <c r="I29" s="9" t="n">
        <f aca="false">SUMPRODUCT(I$14:I$18,Proyeccion!$H$25:$H$29)</f>
        <v>22302.7125</v>
      </c>
      <c r="J29" s="9" t="n">
        <f aca="false">SUMPRODUCT(J$14:J$18,Proyeccion!$H$25:$H$29)</f>
        <v>24036.2125</v>
      </c>
      <c r="K29" s="9" t="n">
        <f aca="false">SUMPRODUCT(K$14:K$18,Proyeccion!$H$25:$H$29)</f>
        <v>25304.6125</v>
      </c>
      <c r="L29" s="9" t="n">
        <f aca="false">SUMPRODUCT(L$14:L$18,Proyeccion!$H$25:$H$29)</f>
        <v>24532.1125</v>
      </c>
      <c r="M29" s="9" t="n">
        <f aca="false">SUMPRODUCT(M$14:M$18,Proyeccion!$H$25:$H$29)</f>
        <v>32291.2</v>
      </c>
      <c r="N29" s="16" t="n">
        <f aca="false">SUM(B29:M29)</f>
        <v>230740.383333333</v>
      </c>
    </row>
    <row r="30" customFormat="false" ht="15" hidden="false" customHeight="false" outlineLevel="0" collapsed="false">
      <c r="A30" s="4" t="s">
        <v>39</v>
      </c>
      <c r="B30" s="16" t="n">
        <f aca="false">B29/(1+Supuestos!$B$26)</f>
        <v>3378.11440677966</v>
      </c>
      <c r="C30" s="16" t="n">
        <f aca="false">C29/(1+Supuestos!$B$26)</f>
        <v>11650.2754237288</v>
      </c>
      <c r="D30" s="16" t="n">
        <f aca="false">D29/(1+Supuestos!$B$26)</f>
        <v>14414.8940677966</v>
      </c>
      <c r="E30" s="16" t="n">
        <f aca="false">E29/(1+Supuestos!$B$26)</f>
        <v>13745.8474576271</v>
      </c>
      <c r="F30" s="16" t="n">
        <f aca="false">F29/(1+Supuestos!$B$26)</f>
        <v>14915.7838983051</v>
      </c>
      <c r="G30" s="16" t="n">
        <f aca="false">G29/(1+Supuestos!$B$26)</f>
        <v>14510.9110169492</v>
      </c>
      <c r="H30" s="16" t="n">
        <f aca="false">H29/(1+Supuestos!$B$26)</f>
        <v>14056.6596045198</v>
      </c>
      <c r="I30" s="16" t="n">
        <f aca="false">I29/(1+Supuestos!$B$26)</f>
        <v>18900.6038135593</v>
      </c>
      <c r="J30" s="16" t="n">
        <f aca="false">J29/(1+Supuestos!$B$26)</f>
        <v>20369.6716101695</v>
      </c>
      <c r="K30" s="16" t="n">
        <f aca="false">K29/(1+Supuestos!$B$26)</f>
        <v>21444.5868644068</v>
      </c>
      <c r="L30" s="16" t="n">
        <f aca="false">L29/(1+Supuestos!$B$26)</f>
        <v>20789.9258474576</v>
      </c>
      <c r="M30" s="16" t="n">
        <f aca="false">M29/(1+Supuestos!$B$26)</f>
        <v>27365.4237288136</v>
      </c>
      <c r="N30" s="16" t="n">
        <f aca="false">SUM(B30:M30)</f>
        <v>195542.697740113</v>
      </c>
    </row>
    <row r="31" customFormat="false" ht="15" hidden="false" customHeight="false" outlineLevel="0" collapsed="false">
      <c r="A31" s="4" t="s">
        <v>320</v>
      </c>
      <c r="B31" s="9" t="n">
        <f aca="false">SUMPRODUCT(B$14:B$18,Proyeccion!$F$25:$F$29)</f>
        <v>1722.34576271186</v>
      </c>
      <c r="C31" s="9" t="n">
        <f aca="false">SUMPRODUCT(C$14:C$18,Proyeccion!$F$25:$F$29)</f>
        <v>6316.22016949153</v>
      </c>
      <c r="D31" s="9" t="n">
        <f aca="false">SUMPRODUCT(D$14:D$18,Proyeccion!$F$25:$F$29)</f>
        <v>7205.63902711864</v>
      </c>
      <c r="E31" s="9" t="n">
        <f aca="false">SUMPRODUCT(E$14:E$18,Proyeccion!$F$25:$F$29)</f>
        <v>6682.20198305085</v>
      </c>
      <c r="F31" s="9" t="n">
        <f aca="false">SUMPRODUCT(F$14:F$18,Proyeccion!$F$25:$F$29)</f>
        <v>7344.39145932203</v>
      </c>
      <c r="G31" s="9" t="n">
        <f aca="false">SUMPRODUCT(G$14:G$18,Proyeccion!$F$25:$F$29)</f>
        <v>6985.80520677966</v>
      </c>
      <c r="H31" s="9" t="n">
        <f aca="false">SUMPRODUCT(H$14:H$18,Proyeccion!$F$25:$F$29)</f>
        <v>6894.68165847458</v>
      </c>
      <c r="I31" s="9" t="n">
        <f aca="false">SUMPRODUCT(I$14:I$18,Proyeccion!$F$25:$F$29)</f>
        <v>9325.30270042373</v>
      </c>
      <c r="J31" s="9" t="n">
        <f aca="false">SUMPRODUCT(J$14:J$18,Proyeccion!$F$25:$F$29)</f>
        <v>9940.7611940678</v>
      </c>
      <c r="K31" s="9" t="n">
        <f aca="false">SUMPRODUCT(K$14:K$18,Proyeccion!$F$25:$F$29)</f>
        <v>10345.9490957627</v>
      </c>
      <c r="L31" s="9" t="n">
        <f aca="false">SUMPRODUCT(L$14:L$18,Proyeccion!$F$25:$F$29)</f>
        <v>9973.36593898305</v>
      </c>
      <c r="M31" s="9" t="n">
        <f aca="false">SUMPRODUCT(M$14:M$18,Proyeccion!$F$25:$F$29)</f>
        <v>14111.6237915254</v>
      </c>
      <c r="N31" s="16" t="n">
        <f aca="false">SUM(B31:M31)</f>
        <v>96848.2879877119</v>
      </c>
    </row>
    <row r="32" customFormat="false" ht="15" hidden="false" customHeight="false" outlineLevel="0" collapsed="false">
      <c r="A32" s="4" t="s">
        <v>321</v>
      </c>
      <c r="B32" s="9" t="n">
        <f aca="false">SUMPRODUCT(B$14:B$18,Proyeccion!$G$25:$G$29)</f>
        <v>1756.99576271186</v>
      </c>
      <c r="C32" s="9" t="n">
        <f aca="false">SUMPRODUCT(C$14:C$18,Proyeccion!$G$25:$G$29)</f>
        <v>6409.46016949153</v>
      </c>
      <c r="D32" s="9" t="n">
        <f aca="false">SUMPRODUCT(D$14:D$18,Proyeccion!$G$25:$G$29)</f>
        <v>7331.84062711865</v>
      </c>
      <c r="E32" s="9" t="n">
        <f aca="false">SUMPRODUCT(E$14:E$18,Proyeccion!$G$25:$G$29)</f>
        <v>6802.15398305085</v>
      </c>
      <c r="F32" s="9" t="n">
        <f aca="false">SUMPRODUCT(F$14:F$18,Proyeccion!$G$25:$G$29)</f>
        <v>7469.45905932204</v>
      </c>
      <c r="G32" s="9" t="n">
        <f aca="false">SUMPRODUCT(G$14:G$18,Proyeccion!$G$25:$G$29)</f>
        <v>7108.68040677966</v>
      </c>
      <c r="H32" s="9" t="n">
        <f aca="false">SUMPRODUCT(H$14:H$18,Proyeccion!$G$25:$G$29)</f>
        <v>7022.22725847458</v>
      </c>
      <c r="I32" s="9" t="n">
        <f aca="false">SUMPRODUCT(I$14:I$18,Proyeccion!$G$25:$G$29)</f>
        <v>9476.08690042373</v>
      </c>
      <c r="J32" s="9" t="n">
        <f aca="false">SUMPRODUCT(J$14:J$18,Proyeccion!$G$25:$G$29)</f>
        <v>10108.6183940678</v>
      </c>
      <c r="K32" s="9" t="n">
        <f aca="false">SUMPRODUCT(K$14:K$18,Proyeccion!$G$25:$G$29)</f>
        <v>10521.2654957627</v>
      </c>
      <c r="L32" s="9" t="n">
        <f aca="false">SUMPRODUCT(L$14:L$18,Proyeccion!$G$25:$G$29)</f>
        <v>10144.9023389831</v>
      </c>
      <c r="M32" s="9" t="n">
        <f aca="false">SUMPRODUCT(M$14:M$18,Proyeccion!$G$25:$G$29)</f>
        <v>14340.8429915254</v>
      </c>
      <c r="N32" s="16" t="n">
        <f aca="false">SUM(B32:M32)</f>
        <v>98492.5333877119</v>
      </c>
    </row>
    <row r="33" customFormat="false" ht="15" hidden="false" customHeight="false" outlineLevel="0" collapsed="false">
      <c r="A33" s="4" t="s">
        <v>322</v>
      </c>
      <c r="B33" s="9" t="n">
        <f aca="false">B5*Supuestos!$B$57</f>
        <v>600</v>
      </c>
      <c r="C33" s="9" t="n">
        <f aca="false">C5*Supuestos!$B$57</f>
        <v>1200</v>
      </c>
      <c r="D33" s="9" t="n">
        <f aca="false">D5*Supuestos!$B$57</f>
        <v>1200</v>
      </c>
      <c r="E33" s="9" t="n">
        <f aca="false">E5*Supuestos!$B$57</f>
        <v>1200</v>
      </c>
      <c r="F33" s="9" t="n">
        <f aca="false">F5*Supuestos!$B$57</f>
        <v>1200</v>
      </c>
      <c r="G33" s="9" t="n">
        <f aca="false">G5*Supuestos!$B$57</f>
        <v>1200</v>
      </c>
      <c r="H33" s="9" t="n">
        <f aca="false">H5*Supuestos!$B$57</f>
        <v>1200</v>
      </c>
      <c r="I33" s="9" t="n">
        <f aca="false">I5*Supuestos!$B$57</f>
        <v>1800</v>
      </c>
      <c r="J33" s="9" t="n">
        <f aca="false">J5*Supuestos!$B$57</f>
        <v>1800</v>
      </c>
      <c r="K33" s="9" t="n">
        <f aca="false">K5*Supuestos!$B$57</f>
        <v>1800</v>
      </c>
      <c r="L33" s="9" t="n">
        <f aca="false">L5*Supuestos!$B$57</f>
        <v>1800</v>
      </c>
      <c r="M33" s="9" t="n">
        <f aca="false">M5*Supuestos!$B$57</f>
        <v>1800</v>
      </c>
      <c r="N33" s="16" t="n">
        <f aca="false">SUM(B33:M33)</f>
        <v>16800</v>
      </c>
    </row>
    <row r="34" customFormat="false" ht="15" hidden="false" customHeight="false" outlineLevel="0" collapsed="false">
      <c r="A34" s="4" t="s">
        <v>323</v>
      </c>
      <c r="B34" s="9" t="n">
        <f aca="false">MAX(0,B5-Supuestos!$B$59)*B6*Supuestos!$B$58</f>
        <v>810</v>
      </c>
      <c r="C34" s="9" t="n">
        <f aca="false">MAX(0,C5-Supuestos!$B$59)*C6*Supuestos!$B$58</f>
        <v>1620</v>
      </c>
      <c r="D34" s="9" t="n">
        <f aca="false">MAX(0,D5-Supuestos!$B$59)*D6*Supuestos!$B$58</f>
        <v>1620</v>
      </c>
      <c r="E34" s="9" t="n">
        <f aca="false">MAX(0,E5-Supuestos!$B$59)*E6*Supuestos!$B$58</f>
        <v>1620</v>
      </c>
      <c r="F34" s="9" t="n">
        <f aca="false">MAX(0,F5-Supuestos!$B$59)*F6*Supuestos!$B$58</f>
        <v>1620</v>
      </c>
      <c r="G34" s="9" t="n">
        <f aca="false">MAX(0,G5-Supuestos!$B$59)*G6*Supuestos!$B$58</f>
        <v>1620</v>
      </c>
      <c r="H34" s="9" t="n">
        <f aca="false">MAX(0,H5-Supuestos!$B$59)*H6*Supuestos!$B$58</f>
        <v>1800</v>
      </c>
      <c r="I34" s="9" t="n">
        <f aca="false">MAX(0,I5-Supuestos!$B$59)*I6*Supuestos!$B$58</f>
        <v>2430</v>
      </c>
      <c r="J34" s="9" t="n">
        <f aca="false">MAX(0,J5-Supuestos!$B$59)*J6*Supuestos!$B$58</f>
        <v>2430</v>
      </c>
      <c r="K34" s="9" t="n">
        <f aca="false">MAX(0,K5-Supuestos!$B$59)*K6*Supuestos!$B$58</f>
        <v>2430</v>
      </c>
      <c r="L34" s="9" t="n">
        <f aca="false">MAX(0,L5-Supuestos!$B$59)*L6*Supuestos!$B$58</f>
        <v>2430</v>
      </c>
      <c r="M34" s="9" t="n">
        <f aca="false">MAX(0,M5-Supuestos!$B$59)*M6*Supuestos!$B$58</f>
        <v>3240</v>
      </c>
      <c r="N34" s="16" t="n">
        <f aca="false">SUM(B34:M34)</f>
        <v>23670</v>
      </c>
    </row>
    <row r="35" customFormat="false" ht="15" hidden="false" customHeight="false" outlineLevel="0" collapsed="false">
      <c r="A35" s="4" t="s">
        <v>324</v>
      </c>
      <c r="B35" s="9" t="n">
        <f aca="false">B8*Supuestos!$B$60</f>
        <v>0</v>
      </c>
      <c r="C35" s="9" t="n">
        <f aca="false">C8*Supuestos!$B$60</f>
        <v>1800</v>
      </c>
      <c r="D35" s="9" t="n">
        <f aca="false">D8*Supuestos!$B$60</f>
        <v>0</v>
      </c>
      <c r="E35" s="9" t="n">
        <f aca="false">E8*Supuestos!$B$60</f>
        <v>0</v>
      </c>
      <c r="F35" s="9" t="n">
        <f aca="false">F8*Supuestos!$B$60</f>
        <v>0</v>
      </c>
      <c r="G35" s="9" t="n">
        <f aca="false">G8*Supuestos!$B$60</f>
        <v>0</v>
      </c>
      <c r="H35" s="9" t="n">
        <f aca="false">H8*Supuestos!$B$60</f>
        <v>0</v>
      </c>
      <c r="I35" s="9" t="n">
        <f aca="false">I8*Supuestos!$B$60</f>
        <v>0</v>
      </c>
      <c r="J35" s="9" t="n">
        <f aca="false">J8*Supuestos!$B$60</f>
        <v>0</v>
      </c>
      <c r="K35" s="9" t="n">
        <f aca="false">K8*Supuestos!$B$60</f>
        <v>0</v>
      </c>
      <c r="L35" s="9" t="n">
        <f aca="false">L8*Supuestos!$B$60</f>
        <v>0</v>
      </c>
      <c r="M35" s="9" t="n">
        <f aca="false">M8*Supuestos!$B$60</f>
        <v>3600</v>
      </c>
      <c r="N35" s="16" t="n">
        <f aca="false">SUM(B35:M35)</f>
        <v>5400</v>
      </c>
    </row>
    <row r="36" customFormat="false" ht="15" hidden="false" customHeight="false" outlineLevel="0" collapsed="false">
      <c r="A36" s="4" t="s">
        <v>325</v>
      </c>
      <c r="B36" s="9" t="n">
        <f aca="false">Supuestos!$B$72</f>
        <v>2503.38888888889</v>
      </c>
      <c r="C36" s="9" t="n">
        <f aca="false">Supuestos!$B$72</f>
        <v>2503.38888888889</v>
      </c>
      <c r="D36" s="9" t="n">
        <f aca="false">Supuestos!$B$72</f>
        <v>2503.38888888889</v>
      </c>
      <c r="E36" s="9" t="n">
        <f aca="false">Supuestos!$B$72</f>
        <v>2503.38888888889</v>
      </c>
      <c r="F36" s="9" t="n">
        <f aca="false">Supuestos!$B$72</f>
        <v>2503.38888888889</v>
      </c>
      <c r="G36" s="9" t="n">
        <f aca="false">Supuestos!$B$72</f>
        <v>2503.38888888889</v>
      </c>
      <c r="H36" s="9" t="n">
        <f aca="false">Supuestos!$B$72</f>
        <v>2503.38888888889</v>
      </c>
      <c r="I36" s="9" t="n">
        <f aca="false">Supuestos!$B$72</f>
        <v>2503.38888888889</v>
      </c>
      <c r="J36" s="9" t="n">
        <f aca="false">Supuestos!$B$72</f>
        <v>2503.38888888889</v>
      </c>
      <c r="K36" s="9" t="n">
        <f aca="false">Supuestos!$B$72</f>
        <v>2503.38888888889</v>
      </c>
      <c r="L36" s="9" t="n">
        <f aca="false">Supuestos!$B$72</f>
        <v>2503.38888888889</v>
      </c>
      <c r="M36" s="9" t="n">
        <f aca="false">Supuestos!$B$72</f>
        <v>2503.38888888889</v>
      </c>
      <c r="N36" s="16" t="n">
        <f aca="false">SUM(B36:M36)</f>
        <v>30040.6666666667</v>
      </c>
    </row>
    <row r="37" customFormat="false" ht="15" hidden="false" customHeight="false" outlineLevel="0" collapsed="false">
      <c r="A37" s="10" t="s">
        <v>326</v>
      </c>
      <c r="B37" s="11" t="n">
        <f aca="false">B31-B33-B34-B35-B36</f>
        <v>-2191.04312617702</v>
      </c>
      <c r="C37" s="11" t="n">
        <f aca="false">C31-C33-C34-C35-C36</f>
        <v>-807.168719397363</v>
      </c>
      <c r="D37" s="11" t="n">
        <f aca="false">D31-D33-D34-D35-D36</f>
        <v>1882.25013822976</v>
      </c>
      <c r="E37" s="11" t="n">
        <f aca="false">E31-E33-E34-E35-E36</f>
        <v>1358.81309416196</v>
      </c>
      <c r="F37" s="11" t="n">
        <f aca="false">F31-F33-F34-F35-F36</f>
        <v>2021.00257043314</v>
      </c>
      <c r="G37" s="11" t="n">
        <f aca="false">G31-G33-G34-G35-G36</f>
        <v>1662.41631789077</v>
      </c>
      <c r="H37" s="11" t="n">
        <f aca="false">H31-H33-H34-H35-H36</f>
        <v>1391.29276958569</v>
      </c>
      <c r="I37" s="11" t="n">
        <f aca="false">I31-I33-I34-I35-I36</f>
        <v>2591.91381153484</v>
      </c>
      <c r="J37" s="11" t="n">
        <f aca="false">J31-J33-J34-J35-J36</f>
        <v>3207.37230517891</v>
      </c>
      <c r="K37" s="11" t="n">
        <f aca="false">K31-K33-K34-K35-K36</f>
        <v>3612.56020687382</v>
      </c>
      <c r="L37" s="11" t="n">
        <f aca="false">L31-L33-L34-L35-L36</f>
        <v>3239.97705009416</v>
      </c>
      <c r="M37" s="11" t="n">
        <f aca="false">M31-M33-M34-M35-M36</f>
        <v>2968.23490263653</v>
      </c>
      <c r="N37" s="11" t="n">
        <f aca="false">SUM(B37:M37)</f>
        <v>20937.6213210452</v>
      </c>
    </row>
    <row r="38" customFormat="false" ht="15" hidden="false" customHeight="false" outlineLevel="0" collapsed="false">
      <c r="A38" s="10" t="s">
        <v>327</v>
      </c>
      <c r="B38" s="11" t="n">
        <f aca="false">B32-B33-B34-B35-B36</f>
        <v>-2156.39312617702</v>
      </c>
      <c r="C38" s="11" t="n">
        <f aca="false">C32-C33-C34-C35-C36</f>
        <v>-713.928719397363</v>
      </c>
      <c r="D38" s="11" t="n">
        <f aca="false">D32-D33-D34-D35-D36</f>
        <v>2008.45173822976</v>
      </c>
      <c r="E38" s="11" t="n">
        <f aca="false">E32-E33-E34-E35-E36</f>
        <v>1478.76509416196</v>
      </c>
      <c r="F38" s="11" t="n">
        <f aca="false">F32-F33-F34-F35-F36</f>
        <v>2146.07017043315</v>
      </c>
      <c r="G38" s="11" t="n">
        <f aca="false">G32-G33-G34-G35-G36</f>
        <v>1785.29151789077</v>
      </c>
      <c r="H38" s="11" t="n">
        <f aca="false">H32-H33-H34-H35-H36</f>
        <v>1518.83836958569</v>
      </c>
      <c r="I38" s="11" t="n">
        <f aca="false">I32-I33-I34-I35-I36</f>
        <v>2742.69801153484</v>
      </c>
      <c r="J38" s="11" t="n">
        <f aca="false">J32-J33-J34-J35-J36</f>
        <v>3375.22950517891</v>
      </c>
      <c r="K38" s="11" t="n">
        <f aca="false">K32-K33-K34-K35-K36</f>
        <v>3787.87660687382</v>
      </c>
      <c r="L38" s="11" t="n">
        <f aca="false">L32-L33-L34-L35-L36</f>
        <v>3411.51345009416</v>
      </c>
      <c r="M38" s="11" t="n">
        <f aca="false">M32-M33-M34-M35-M36</f>
        <v>3197.45410263654</v>
      </c>
      <c r="N38" s="11" t="n">
        <f aca="false">SUM(B38:M38)</f>
        <v>22581.8667210452</v>
      </c>
    </row>
    <row r="39" customFormat="false" ht="15" hidden="false" customHeight="false" outlineLevel="0" collapsed="false">
      <c r="A39" s="4" t="s">
        <v>328</v>
      </c>
      <c r="B39" s="16" t="n">
        <f aca="false">B37</f>
        <v>-2191.04312617702</v>
      </c>
      <c r="C39" s="16" t="n">
        <f aca="false">B39+C37</f>
        <v>-2998.21184557439</v>
      </c>
      <c r="D39" s="16" t="n">
        <f aca="false">C39+D37</f>
        <v>-1115.96170734463</v>
      </c>
      <c r="E39" s="16" t="n">
        <f aca="false">D39+E37</f>
        <v>242.851386817326</v>
      </c>
      <c r="F39" s="16" t="n">
        <f aca="false">E39+F37</f>
        <v>2263.85395725047</v>
      </c>
      <c r="G39" s="16" t="n">
        <f aca="false">F39+G37</f>
        <v>3926.27027514124</v>
      </c>
      <c r="H39" s="16" t="n">
        <f aca="false">G39+H37</f>
        <v>5317.56304472693</v>
      </c>
      <c r="I39" s="16" t="n">
        <f aca="false">H39+I37</f>
        <v>7909.47685626177</v>
      </c>
      <c r="J39" s="16" t="n">
        <f aca="false">I39+J37</f>
        <v>11116.8491614407</v>
      </c>
      <c r="K39" s="16" t="n">
        <f aca="false">J39+K37</f>
        <v>14729.4093683145</v>
      </c>
      <c r="L39" s="16" t="n">
        <f aca="false">K39+L37</f>
        <v>17969.3864184087</v>
      </c>
      <c r="M39" s="16" t="n">
        <f aca="false">L39+M37</f>
        <v>20937.6213210452</v>
      </c>
    </row>
    <row r="40" customFormat="false" ht="15" hidden="false" customHeight="false" outlineLevel="0" collapsed="false">
      <c r="A40" s="4" t="s">
        <v>329</v>
      </c>
      <c r="B40" s="16" t="n">
        <f aca="false">B38</f>
        <v>-2156.39312617702</v>
      </c>
      <c r="C40" s="16" t="n">
        <f aca="false">B40+C38</f>
        <v>-2870.32184557439</v>
      </c>
      <c r="D40" s="16" t="n">
        <f aca="false">C40+D38</f>
        <v>-861.870107344631</v>
      </c>
      <c r="E40" s="16" t="n">
        <f aca="false">D40+E38</f>
        <v>616.894986817329</v>
      </c>
      <c r="F40" s="16" t="n">
        <f aca="false">E40+F38</f>
        <v>2762.96515725047</v>
      </c>
      <c r="G40" s="16" t="n">
        <f aca="false">F40+G38</f>
        <v>4548.25667514125</v>
      </c>
      <c r="H40" s="16" t="n">
        <f aca="false">G40+H38</f>
        <v>6067.09504472694</v>
      </c>
      <c r="I40" s="16" t="n">
        <f aca="false">H40+I38</f>
        <v>8809.79305626178</v>
      </c>
      <c r="J40" s="16" t="n">
        <f aca="false">I40+J38</f>
        <v>12185.0225614407</v>
      </c>
      <c r="K40" s="16" t="n">
        <f aca="false">J40+K38</f>
        <v>15972.8991683145</v>
      </c>
      <c r="L40" s="16" t="n">
        <f aca="false">K40+L38</f>
        <v>19384.4126184087</v>
      </c>
      <c r="M40" s="16" t="n">
        <f aca="false">L40+M38</f>
        <v>22581.8667210452</v>
      </c>
    </row>
    <row r="41" customFormat="false" ht="15" hidden="false" customHeight="false" outlineLevel="0" collapsed="false">
      <c r="A41" s="4" t="s">
        <v>330</v>
      </c>
      <c r="B41" s="9" t="n">
        <f aca="false">IF(1&lt;=Inversion!$B$49,Inversion!$B$50,0)</f>
        <v>729.471399828276</v>
      </c>
      <c r="C41" s="9" t="n">
        <f aca="false">IF(2&lt;=Inversion!$B$49,Inversion!$B$50,0)</f>
        <v>729.471399828276</v>
      </c>
      <c r="D41" s="9" t="n">
        <f aca="false">IF(3&lt;=Inversion!$B$49,Inversion!$B$50,0)</f>
        <v>729.471399828276</v>
      </c>
      <c r="E41" s="9" t="n">
        <f aca="false">IF(4&lt;=Inversion!$B$49,Inversion!$B$50,0)</f>
        <v>729.471399828276</v>
      </c>
      <c r="F41" s="9" t="n">
        <f aca="false">IF(5&lt;=Inversion!$B$49,Inversion!$B$50,0)</f>
        <v>729.471399828276</v>
      </c>
      <c r="G41" s="9" t="n">
        <f aca="false">IF(6&lt;=Inversion!$B$49,Inversion!$B$50,0)</f>
        <v>729.471399828276</v>
      </c>
      <c r="H41" s="9" t="n">
        <f aca="false">IF(7&lt;=Inversion!$B$49,Inversion!$B$50,0)</f>
        <v>729.471399828276</v>
      </c>
      <c r="I41" s="9" t="n">
        <f aca="false">IF(8&lt;=Inversion!$B$49,Inversion!$B$50,0)</f>
        <v>729.471399828276</v>
      </c>
      <c r="J41" s="9" t="n">
        <f aca="false">IF(9&lt;=Inversion!$B$49,Inversion!$B$50,0)</f>
        <v>729.471399828276</v>
      </c>
      <c r="K41" s="9" t="n">
        <f aca="false">IF(10&lt;=Inversion!$B$49,Inversion!$B$50,0)</f>
        <v>729.471399828276</v>
      </c>
      <c r="L41" s="9" t="n">
        <f aca="false">IF(11&lt;=Inversion!$B$49,Inversion!$B$50,0)</f>
        <v>729.471399828276</v>
      </c>
      <c r="M41" s="9" t="n">
        <f aca="false">IF(12&lt;=Inversion!$B$49,Inversion!$B$50,0)</f>
        <v>729.471399828276</v>
      </c>
      <c r="N41" s="16" t="n">
        <f aca="false">SUM(B41:M41)</f>
        <v>8753.65679793931</v>
      </c>
    </row>
    <row r="42" customFormat="false" ht="15" hidden="false" customHeight="false" outlineLevel="0" collapsed="false">
      <c r="A42" s="4" t="s">
        <v>331</v>
      </c>
      <c r="B42" s="9" t="n">
        <f aca="false">Supuestos!$B$71</f>
        <v>134.388888888889</v>
      </c>
      <c r="C42" s="9" t="n">
        <f aca="false">Supuestos!$B$71</f>
        <v>134.388888888889</v>
      </c>
      <c r="D42" s="9" t="n">
        <f aca="false">Supuestos!$B$71</f>
        <v>134.388888888889</v>
      </c>
      <c r="E42" s="9" t="n">
        <f aca="false">Supuestos!$B$71</f>
        <v>134.388888888889</v>
      </c>
      <c r="F42" s="9" t="n">
        <f aca="false">Supuestos!$B$71</f>
        <v>134.388888888889</v>
      </c>
      <c r="G42" s="9" t="n">
        <f aca="false">Supuestos!$B$71</f>
        <v>134.388888888889</v>
      </c>
      <c r="H42" s="9" t="n">
        <f aca="false">Supuestos!$B$71</f>
        <v>134.388888888889</v>
      </c>
      <c r="I42" s="9" t="n">
        <f aca="false">Supuestos!$B$71</f>
        <v>134.388888888889</v>
      </c>
      <c r="J42" s="9" t="n">
        <f aca="false">Supuestos!$B$71</f>
        <v>134.388888888889</v>
      </c>
      <c r="K42" s="9" t="n">
        <f aca="false">Supuestos!$B$71</f>
        <v>134.388888888889</v>
      </c>
      <c r="L42" s="9" t="n">
        <f aca="false">Supuestos!$B$71</f>
        <v>134.388888888889</v>
      </c>
      <c r="M42" s="9" t="n">
        <f aca="false">Supuestos!$B$71</f>
        <v>134.388888888889</v>
      </c>
      <c r="N42" s="16" t="n">
        <f aca="false">SUM(B42:M42)</f>
        <v>1612.66666666667</v>
      </c>
    </row>
    <row r="43" customFormat="false" ht="15" hidden="false" customHeight="false" outlineLevel="0" collapsed="false">
      <c r="A43" s="10" t="s">
        <v>332</v>
      </c>
      <c r="B43" s="11" t="n">
        <f aca="false">Inversion!$B$34+Inversion!$B$52+B37+B42-B41</f>
        <v>5319.63336288359</v>
      </c>
      <c r="C43" s="11" t="n">
        <f aca="false">B43+C37+C42-C41</f>
        <v>3917.38213254684</v>
      </c>
      <c r="D43" s="11" t="n">
        <f aca="false">C43+D37+D42-D41</f>
        <v>5204.54975983721</v>
      </c>
      <c r="E43" s="11" t="n">
        <f aca="false">D43+E37+E42-E41</f>
        <v>5968.28034305978</v>
      </c>
      <c r="F43" s="11" t="n">
        <f aca="false">E43+F37+F42-F41</f>
        <v>7394.20040255354</v>
      </c>
      <c r="G43" s="11" t="n">
        <f aca="false">F43+G37+G42-G41</f>
        <v>8461.53420950493</v>
      </c>
      <c r="H43" s="11" t="n">
        <f aca="false">G43+H37+H42-H41</f>
        <v>9257.74446815123</v>
      </c>
      <c r="I43" s="11" t="n">
        <f aca="false">H43+I37+I42-I41</f>
        <v>11254.5757687467</v>
      </c>
      <c r="J43" s="11" t="n">
        <f aca="false">I43+J37+J42-J41</f>
        <v>13866.8655629862</v>
      </c>
      <c r="K43" s="11" t="n">
        <f aca="false">J43+K37+K42-K41</f>
        <v>16884.3432589206</v>
      </c>
      <c r="L43" s="11" t="n">
        <f aca="false">K43+L37+L42-L41</f>
        <v>19529.2377980754</v>
      </c>
      <c r="M43" s="11" t="n">
        <f aca="false">L43+M37+M42-M41</f>
        <v>21902.3901897726</v>
      </c>
    </row>
    <row r="45" customFormat="false" ht="15" hidden="false" customHeight="false" outlineLevel="0" collapsed="false">
      <c r="A45" s="4" t="s">
        <v>333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2026-10-09T23:06:54Z</dcterms:created>
  <dc:creator>openpyxl</dc:creator>
  <dc:description/>
  <dc:language>en-US</dc:language>
  <cp:lastModifiedBy/>
  <dcterms:modified xsi:type="dcterms:W3CDTF">2026-10-09T23:06:54Z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