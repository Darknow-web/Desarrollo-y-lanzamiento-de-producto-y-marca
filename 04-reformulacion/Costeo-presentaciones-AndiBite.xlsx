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Resumen" sheetId="2" state="visible" r:id="rId4"/>
    <sheet name="Supuestos" sheetId="3" state="visible" r:id="rId5"/>
    <sheet name="Costeo" sheetId="4" state="visible" r:id="rId6"/>
    <sheet name="Proyeccion" sheetId="5" state="visible" r:id="rId7"/>
    <sheet name="Mensual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0" authorId="0">
      <text>
        <r>
          <rPr>
            <sz val="10"/>
            <rFont val="Arial"/>
            <family val="2"/>
          </rPr>
          <t xml:space="preserve">[HIPÓTESIS] Precio sugerido para la unidad suelta en ferias. El documento 05 usaba S/4.50; aquí se sube a S/5.00 para que el pack de 6 (S/4.50 por unidad) sea la compra más conveniente.</t>
        </r>
      </text>
    </comment>
  </commentList>
</comments>
</file>

<file path=xl/sharedStrings.xml><?xml version="1.0" encoding="utf-8"?>
<sst xmlns="http://schemas.openxmlformats.org/spreadsheetml/2006/main" count="316" uniqueCount="218">
  <si>
    <t xml:space="preserve">Cómo usar este archivo</t>
  </si>
  <si>
    <t xml:space="preserve">Qué es: el costeo de AndiBite con tres presentaciones (unidad individual, pack de 6 y pack de 12) y dos formas de armar el pack de 6 (opción B con bolsitas y opción C con brownies sueltos). La planta de maquila hornea y empaca; no hay planta propia.</t>
  </si>
  <si>
    <t xml:space="preserve">Colores:</t>
  </si>
  <si>
    <t xml:space="preserve">  Texto azul = dato que pueden cambiar (precios, costos, mezcla, unidades por mes).</t>
  </si>
  <si>
    <t xml:space="preserve">  Fondo amarillo = supuesto clave que todavía no está cotizado o validado.</t>
  </si>
  <si>
    <t xml:space="preserve">  Texto negro = fórmula. Texto verde = fórmula que trae un dato de otra hoja.</t>
  </si>
  <si>
    <t xml:space="preserve">Hojas:</t>
  </si>
  <si>
    <t xml:space="preserve">  Resumen: costo por presentación, resultado del año y punto de equilibrio con las opciones B y C.</t>
  </si>
  <si>
    <t xml:space="preserve">  Supuestos: todos los datos de entrada con su fuente.</t>
  </si>
  <si>
    <t xml:space="preserve">  Costeo: costo de producción de cada presentación, línea por línea.</t>
  </si>
  <si>
    <t xml:space="preserve">  Proyeccion: el año 1 desglosado por canal y presentación.</t>
  </si>
  <si>
    <t xml:space="preserve">  Mensual: unidades por canal mes a mes, producción a pedir a la planta y resultado mensual.</t>
  </si>
  <si>
    <t xml:space="preserve">Cómo se proyecta cuando un producto tiene varias presentaciones (método de mezcla de ventas):</t>
  </si>
  <si>
    <t xml:space="preserve">  1. Se proyectan las unidades de brownie por canal (cuántos brownies se comen, no cuántas bolsas). Vienen del documento 05: hogares × consumo + colegios + ferias + naturistas.</t>
  </si>
  <si>
    <t xml:space="preserve">  2. En cada canal se define la mezcla: qué % de esas unidades sale como unidad suelta, pack de 6 o pack de 12. Cada canal compra distinto: el quiosco vende sueltas, la mamá por WhatsApp compra packs.</t>
  </si>
  <si>
    <t xml:space="preserve">  3. Unidades × mezcla ÷ tamaño del envase = envases vendidos de cada presentación.</t>
  </si>
  <si>
    <t xml:space="preserve">  4. Envases × precio de esa presentación en ese canal = ingreso. Envases × costo de esa presentación = costo de producción.</t>
  </si>
  <si>
    <t xml:space="preserve">  5. Se resta el costo del canal (delivery, pasarela, comisión) y se suman las contribuciones. Esa suma, menos los costos fijos, es el resultado.</t>
  </si>
  <si>
    <t xml:space="preserve">  La ventaja: si cambia la mezcla (por ejemplo, más packs de 12), el ingreso y el margen se recalculan solos sin rehacer la proyección.</t>
  </si>
  <si>
    <t xml:space="preserve">Ejemplo para probar: en Supuestos, cambie la maquila (celda B7) de 0.50 a 0.90 y mire cómo sube el punto de equilibrio en Resumen.</t>
  </si>
  <si>
    <t xml:space="preserve">AndiBite — Resumen del costeo por presentación (año 1, escenario base)</t>
  </si>
  <si>
    <t xml:space="preserve">Todo se calcula desde las hojas Supuestos, Costeo, Proyeccion y Mensual. Cambie las celdas azules de Supuestos o Mensual.</t>
  </si>
  <si>
    <t xml:space="preserve">Presentación</t>
  </si>
  <si>
    <t xml:space="preserve">Costo de producción por envase</t>
  </si>
  <si>
    <t xml:space="preserve">Costo por unidad</t>
  </si>
  <si>
    <t xml:space="preserve">Precio en venta directa (con IGV)</t>
  </si>
  <si>
    <t xml:space="preserve">Margen bruto % en venta directa</t>
  </si>
  <si>
    <t xml:space="preserve">Unidad individual</t>
  </si>
  <si>
    <t xml:space="preserve">Pack de 6 — opción B (con bolsitas)</t>
  </si>
  <si>
    <t xml:space="preserve">Pack de 6 — opción C (sueltos)</t>
  </si>
  <si>
    <t xml:space="preserve">Pack de 12</t>
  </si>
  <si>
    <t xml:space="preserve">Año 1</t>
  </si>
  <si>
    <t xml:space="preserve">Opción B (bolsitas)</t>
  </si>
  <si>
    <t xml:space="preserve">Opción C (sueltos)</t>
  </si>
  <si>
    <t xml:space="preserve">Unidades vendidas</t>
  </si>
  <si>
    <t xml:space="preserve">Ventas con IGV</t>
  </si>
  <si>
    <t xml:space="preserve">Ventas sin IGV</t>
  </si>
  <si>
    <t xml:space="preserve">Contribución (ventas sin IGV menos costos variables)</t>
  </si>
  <si>
    <t xml:space="preserve">Costos fijos del año</t>
  </si>
  <si>
    <t xml:space="preserve">Resultado operativo del año (antes de intereses y renta anual)</t>
  </si>
  <si>
    <t xml:space="preserve">Margen operativo sobre ventas sin IGV</t>
  </si>
  <si>
    <t xml:space="preserve">Contribución promedio por unidad</t>
  </si>
  <si>
    <t xml:space="preserve">Punto de equilibrio (unidades al mes)</t>
  </si>
  <si>
    <t xml:space="preserve">Punto de equilibrio en packs de 6 equivalentes al mes</t>
  </si>
  <si>
    <t xml:space="preserve">Notas</t>
  </si>
  <si>
    <t xml:space="preserve">1. La maquila (S/0.50 por unidad) y el polvo de sangrecita no están cotizados: son el 40 % del costo de producción. Cambiarlos en Supuestos apenas lleguen las cotizaciones.</t>
  </si>
  <si>
    <t xml:space="preserve">2. El resultado no incluye sueldos de los socios, intereses del préstamo (S/1,721 en el año) ni el impuesto a la renta anual.</t>
  </si>
  <si>
    <t xml:space="preserve">3. La unidad individual se vende en ferias, quioscos y como caja degustación; no conviene por delivery porque el envío pesa más que el brownie.</t>
  </si>
  <si>
    <t xml:space="preserve">4. Referencia: el documento 05 usaba la opción A (etiqueta en cada brownie), con costo de S/1.91 por unidad y equilibrio de 3,500 unidades al mes.</t>
  </si>
  <si>
    <t xml:space="preserve">Supuestos del costeo — AndiBite (maquila, escenario de 3,000 unidades al mes)</t>
  </si>
  <si>
    <t xml:space="preserve">Celdas azules = datos que pueden cambiar. Amarillo = supuestos clave sin cotizar. Montos en soles. Fuente general: 04-reformulacion/05-plan-comercial-y-financiero.md, sección 4.</t>
  </si>
  <si>
    <t xml:space="preserve">1. Costos de producción por unidad de 20 g (sin IGV)</t>
  </si>
  <si>
    <t xml:space="preserve">Concepto</t>
  </si>
  <si>
    <t xml:space="preserve">Valor</t>
  </si>
  <si>
    <t xml:space="preserve">Unidad</t>
  </si>
  <si>
    <t xml:space="preserve">Fuente o nota</t>
  </si>
  <si>
    <t xml:space="preserve">Insumos por unidad (promedio de los 3 sabores, sangrecita en polvo)</t>
  </si>
  <si>
    <t xml:space="preserve">S/ por unidad</t>
  </si>
  <si>
    <t xml:space="preserve">Documento 05, tabla 4.2 (precios de Makro, mayoristas, Plaza Vea y Wong sin IGV)</t>
  </si>
  <si>
    <t xml:space="preserve">Maquila por unidad (la planta mezcla, hornea, corta, pesa y empaca)</t>
  </si>
  <si>
    <t xml:space="preserve">[POR CONFIRMAR] Rango S/0.40-0.60 del documento 03. Cotizar con MAKING y Panificadora Unión</t>
  </si>
  <si>
    <t xml:space="preserve">Descuento de maquila si no se empaca cada unidad (opción C)</t>
  </si>
  <si>
    <t xml:space="preserve">[HIPÓTESIS] Dejar en 0 hasta que la planta lo confirme</t>
  </si>
  <si>
    <t xml:space="preserve">Bolsita individual (flow pack sin imprimir)</t>
  </si>
  <si>
    <t xml:space="preserve">Documento 05, tabla 4.2</t>
  </si>
  <si>
    <t xml:space="preserve">Etiqueta individual con rotulado completo (solo unidad que se vende suelta)</t>
  </si>
  <si>
    <t xml:space="preserve">Imprenta Peruana, 1,000 unidades sin IGV (documento 02)</t>
  </si>
  <si>
    <t xml:space="preserve">Papel manteca separador entre brownies (opción C)</t>
  </si>
  <si>
    <t xml:space="preserve">[HIPÓTESIS] Rollo de supermercado prorrateado</t>
  </si>
  <si>
    <t xml:space="preserve">Control de calidad por lote, prorrateado por unidad</t>
  </si>
  <si>
    <t xml:space="preserve">S/250 por análisis microbiológico al mes / 3,000 unidades (documento 05)</t>
  </si>
  <si>
    <t xml:space="preserve">Transporte planta-almacén por unidad</t>
  </si>
  <si>
    <t xml:space="preserve">2 viajes de S/80 al mes / 3,000 unidades (documento 05)</t>
  </si>
  <si>
    <t xml:space="preserve">Almacenamiento por unidad</t>
  </si>
  <si>
    <t xml:space="preserve">Pactado con la planta u operador logístico (documento 05)</t>
  </si>
  <si>
    <t xml:space="preserve">Merma (sobre insumos, maquila y empaque)</t>
  </si>
  <si>
    <t xml:space="preserve">%</t>
  </si>
  <si>
    <t xml:space="preserve">[HIPÓTESIS] Documento 05</t>
  </si>
  <si>
    <t xml:space="preserve">2. Empaque del pack (por envase, sin IGV)</t>
  </si>
  <si>
    <t xml:space="preserve">Doypack kraft para 6 unidades</t>
  </si>
  <si>
    <t xml:space="preserve">S/ por envase</t>
  </si>
  <si>
    <t xml:space="preserve">S/0.625 con IGV por 1,000 unidades (documento 02)</t>
  </si>
  <si>
    <t xml:space="preserve">Etiquetas del doypack de 6 (frente y reverso)</t>
  </si>
  <si>
    <t xml:space="preserve">2 x S/0.36, 1,000 unidades (documento 02)</t>
  </si>
  <si>
    <t xml:space="preserve">Doypack kraft para 12 unidades</t>
  </si>
  <si>
    <t xml:space="preserve">[HIPÓTESIS] Talla mayor; cotizar</t>
  </si>
  <si>
    <t xml:space="preserve">Etiquetas del doypack de 12 (frente y reverso)</t>
  </si>
  <si>
    <t xml:space="preserve">Mismo sticker que el pack de 6</t>
  </si>
  <si>
    <t xml:space="preserve">3. Impuestos y comisiones</t>
  </si>
  <si>
    <t xml:space="preserve">IGV</t>
  </si>
  <si>
    <t xml:space="preserve">SUNAT</t>
  </si>
  <si>
    <t xml:space="preserve">Pasarela de pagos (Yape, Plin, tarjeta) sobre el precio con IGV</t>
  </si>
  <si>
    <t xml:space="preserve">Mezcla Culqi 3.44-3.99 % con 15 % de transferencias sin costo (documento 05)</t>
  </si>
  <si>
    <t xml:space="preserve">Renta RMT, pago a cuenta mensual sobre la venta sin IGV</t>
  </si>
  <si>
    <t xml:space="preserve">Régimen MYPE Tributario (documento 05)</t>
  </si>
  <si>
    <t xml:space="preserve">4. Costo de canal por unidad (sin IGV)</t>
  </si>
  <si>
    <t xml:space="preserve">Canal</t>
  </si>
  <si>
    <t xml:space="preserve">Logística por unidad (S/)</t>
  </si>
  <si>
    <t xml:space="preserve">¿Paga pasarela? (1 = sí, 0 = no)</t>
  </si>
  <si>
    <t xml:space="preserve">Nota</t>
  </si>
  <si>
    <t xml:space="preserve">Venta directa (WhatsApp e Instagram)</t>
  </si>
  <si>
    <t xml:space="preserve">Delivery: S/9.50 por pedido de unas 10 unidades; gratis desde 2 packs (documento 05)</t>
  </si>
  <si>
    <t xml:space="preserve">Ferias y eventos</t>
  </si>
  <si>
    <t xml:space="preserve">Stand de S/200 por evento con unas 120 unidades (documento 05)</t>
  </si>
  <si>
    <t xml:space="preserve">Colegios (quiosco)</t>
  </si>
  <si>
    <t xml:space="preserve">[HIPÓTESIS] Ruta semanal al colegio; cobro por factura</t>
  </si>
  <si>
    <t xml:space="preserve">Tiendas naturistas</t>
  </si>
  <si>
    <t xml:space="preserve">[HIPÓTESIS] Reposición quincenal; cobro por factura</t>
  </si>
  <si>
    <t xml:space="preserve">5. Precio que cobra AndiBite por presentación y canal (S/ con IGV)</t>
  </si>
  <si>
    <t xml:space="preserve">Pack de 6</t>
  </si>
  <si>
    <t xml:space="preserve">Precio intermedio recomendado (9-oct-2026). S/4.15 por brownie en el pack de 6, a la par de Fika (S/4.00) y Mamalama (S/4.10) por 20 g. Unidad = caja degustación de 3 (S/12.00)</t>
  </si>
  <si>
    <t xml:space="preserve">Precio intermedio recomendado (9-oct-2026). En feria se cobra algo más que por WhatsApp porque el stand cuesta cerca de S/1 por brownie</t>
  </si>
  <si>
    <t xml:space="preserve">El alumno paga S/4.00; el concesionario se queda 25 %</t>
  </si>
  <si>
    <t xml:space="preserve">Precio intermedio recomendado (9-oct-2026): AndiBite cobra S/17.34 a la tienda; con 40 % para la tienda, el anaquel queda en S/28.90</t>
  </si>
  <si>
    <t xml:space="preserve">6. Mezcla de presentaciones por canal (% de las unidades que vende cada canal)</t>
  </si>
  <si>
    <t xml:space="preserve">Suma (debe ser 100 %)</t>
  </si>
  <si>
    <t xml:space="preserve">Venta directa: 60/30/10 viene del documento 05 (sección 6.1). Ferias, colegios y naturistas: [HIPÓTESIS] según cómo compra cada canal.</t>
  </si>
  <si>
    <t xml:space="preserve">7. Costos fijos mensuales (S/ sin IGV)</t>
  </si>
  <si>
    <t xml:space="preserve">S/ al mes</t>
  </si>
  <si>
    <t xml:space="preserve">Administración: contador, software, web, teléfono, movilidad, GS1, banco</t>
  </si>
  <si>
    <t xml:space="preserve">Documento 05, sección 4.1</t>
  </si>
  <si>
    <t xml:space="preserve">Asistente de pedidos y despacho (medio tiempo)</t>
  </si>
  <si>
    <t xml:space="preserve">[HIPÓTESIS] Si los socios despachan, poner 0</t>
  </si>
  <si>
    <t xml:space="preserve">Marketing: pauta y muestras (promedio del año)</t>
  </si>
  <si>
    <t xml:space="preserve">Documento 05</t>
  </si>
  <si>
    <t xml:space="preserve">Depreciación de equipos (S/2,338 en 36 meses)</t>
  </si>
  <si>
    <t xml:space="preserve">Total costos fijos al mes</t>
  </si>
  <si>
    <t xml:space="preserve">8. Mezcla de sabores (para planear compras y producción)</t>
  </si>
  <si>
    <t xml:space="preserve">Sabor</t>
  </si>
  <si>
    <t xml:space="preserve">% de las unidades</t>
  </si>
  <si>
    <t xml:space="preserve">Chispa (choco clásico con chispas)</t>
  </si>
  <si>
    <t xml:space="preserve">[HIPÓTESIS] Ajustar con el focus 2</t>
  </si>
  <si>
    <t xml:space="preserve">Andi (choco, plátano, canela y cañihua)</t>
  </si>
  <si>
    <t xml:space="preserve">Lúcu (choco y lúcuma)</t>
  </si>
  <si>
    <t xml:space="preserve">Suma</t>
  </si>
  <si>
    <t xml:space="preserve">Costo de producción por presentación (sin IGV)</t>
  </si>
  <si>
    <t xml:space="preserve">Opción B: cada brownie en bolsita sin etiqueta, dentro del doypack con etiqueta. Opción C: brownies sueltos con papel manteca dentro del doypack. Unidad individual: bolsita con etiqueta completa.</t>
  </si>
  <si>
    <t xml:space="preserve">Pack de 12 (con bolsitas)</t>
  </si>
  <si>
    <t xml:space="preserve">Unidades por presentación</t>
  </si>
  <si>
    <t xml:space="preserve">Insumos</t>
  </si>
  <si>
    <t xml:space="preserve">Maquila</t>
  </si>
  <si>
    <t xml:space="preserve">Bolsita individual (flow pack)</t>
  </si>
  <si>
    <t xml:space="preserve">Etiqueta individual</t>
  </si>
  <si>
    <t xml:space="preserve">Papel manteca separador</t>
  </si>
  <si>
    <t xml:space="preserve">Doypack</t>
  </si>
  <si>
    <t xml:space="preserve">Etiquetas del doypack</t>
  </si>
  <si>
    <t xml:space="preserve">Merma</t>
  </si>
  <si>
    <t xml:space="preserve">Control de calidad, transporte y almacén</t>
  </si>
  <si>
    <t xml:space="preserve">Costo de producción por presentación</t>
  </si>
  <si>
    <t xml:space="preserve">Costo de producción por unidad</t>
  </si>
  <si>
    <t xml:space="preserve">Venta directa por WhatsApp e Instagram</t>
  </si>
  <si>
    <t xml:space="preserve">Precio con IGV</t>
  </si>
  <si>
    <t xml:space="preserve">Precio sin IGV</t>
  </si>
  <si>
    <t xml:space="preserve">Margen bruto por presentación (precio sin IGV menos costo de producción)</t>
  </si>
  <si>
    <t xml:space="preserve">Margen bruto %</t>
  </si>
  <si>
    <t xml:space="preserve">Referencia: con la opción A (bolsita con etiqueta individual en cada brownie), el costo de producción era S/1.91 por unidad (documento 05).</t>
  </si>
  <si>
    <t xml:space="preserve">El margen bruto no incluye delivery, pasarela, comisiones de canal ni costos fijos: eso se calcula en la hoja Proyeccion.</t>
  </si>
  <si>
    <t xml:space="preserve">Proyección anual por canal y presentación (año 1, escenario base)</t>
  </si>
  <si>
    <t xml:space="preserve">Paso a paso: unidades del canal (hoja Mensual) × mezcla de presentaciones (Supuestos) = unidades por presentación; ÷ tamaño = envases vendidos; × precio = ingreso; menos costo de producción y de canal = contribución.</t>
  </si>
  <si>
    <t xml:space="preserve">Unidades por envase</t>
  </si>
  <si>
    <t xml:space="preserve">Unidades del canal en el año</t>
  </si>
  <si>
    <t xml:space="preserve">% de la mezcla</t>
  </si>
  <si>
    <t xml:space="preserve">Envases vendidos</t>
  </si>
  <si>
    <t xml:space="preserve">Precio cobrado con IGV por envase</t>
  </si>
  <si>
    <t xml:space="preserve">Ingreso con IGV</t>
  </si>
  <si>
    <t xml:space="preserve">Ingreso sin IGV</t>
  </si>
  <si>
    <t xml:space="preserve">Costo de producción por envase — opción B</t>
  </si>
  <si>
    <t xml:space="preserve">Costo de producción por envase — opción C</t>
  </si>
  <si>
    <t xml:space="preserve">Costo de canal por envase</t>
  </si>
  <si>
    <t xml:space="preserve">Contribución por envase — opción B</t>
  </si>
  <si>
    <t xml:space="preserve">Contribución por envase — opción C</t>
  </si>
  <si>
    <t xml:space="preserve">Contribución total — opción B</t>
  </si>
  <si>
    <t xml:space="preserve">Contribución total — opción C</t>
  </si>
  <si>
    <t xml:space="preserve">Margen de contribución % — B</t>
  </si>
  <si>
    <t xml:space="preserve">Margen de contribución % — C</t>
  </si>
  <si>
    <t xml:space="preserve">Total</t>
  </si>
  <si>
    <t xml:space="preserve">2. Contribución por canal (la usa la hoja Mensual)</t>
  </si>
  <si>
    <t xml:space="preserve">Unidades</t>
  </si>
  <si>
    <t xml:space="preserve">Contribución — opción B</t>
  </si>
  <si>
    <t xml:space="preserve">Contribución — opción C</t>
  </si>
  <si>
    <t xml:space="preserve">Contribución por unidad — B</t>
  </si>
  <si>
    <t xml:space="preserve">Contribución por unidad — C</t>
  </si>
  <si>
    <t xml:space="preserve">Ingreso con IGV por unidad</t>
  </si>
  <si>
    <t xml:space="preserve">3. Resumen por presentación</t>
  </si>
  <si>
    <t xml:space="preserve">4. Unidades por sabor en el año (para compras de insumos)</t>
  </si>
  <si>
    <t xml:space="preserve">Unidades en el año</t>
  </si>
  <si>
    <t xml:space="preserve">Proyección mensual del año 1 (marzo 2027 a febrero 2028), escenario base</t>
  </si>
  <si>
    <t xml:space="preserve">Las unidades por canal (azul) vienen del documento 05, tabla 6.2. Cámbielas para probar otro escenario; todo lo demás se recalcula.</t>
  </si>
  <si>
    <t xml:space="preserve">Unidades vendidas por canal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</si>
  <si>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</si>
  <si>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</si>
  <si>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</si>
  <si>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</si>
  <si>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</si>
  <si>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</si>
  <si>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Set-27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</si>
  <si>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</si>
  <si>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</si>
  <si>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</si>
  <si>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</si>
  <si>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</si>
  <si>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Total año</t>
  </si>
  <si>
    <t xml:space="preserve">Total unidades</t>
  </si>
  <si>
    <t xml:space="preserve">Producción que hay que pedir a la planta</t>
  </si>
  <si>
    <t xml:space="preserve">Unidades individuales sueltas</t>
  </si>
  <si>
    <t xml:space="preserve">Unidades que van en packs de 6</t>
  </si>
  <si>
    <t xml:space="preserve">Unidades que van en packs de 12</t>
  </si>
  <si>
    <t xml:space="preserve">Packs de 6 a armar</t>
  </si>
  <si>
    <t xml:space="preserve">Packs de 12 a armar</t>
  </si>
  <si>
    <t xml:space="preserve">Resultado mensual (S/)</t>
  </si>
  <si>
    <t xml:space="preserve">Contribución con pack de 6 opción B</t>
  </si>
  <si>
    <t xml:space="preserve">Contribución con pack de 6 opción C</t>
  </si>
  <si>
    <t xml:space="preserve">Costos fijos del mes</t>
  </si>
  <si>
    <t xml:space="preserve">Resultado operativo — opción B</t>
  </si>
  <si>
    <t xml:space="preserve">Resultado operativo — opción C</t>
  </si>
  <si>
    <t xml:space="preserve">Resultado acumulado — opción B</t>
  </si>
  <si>
    <t xml:space="preserve">Resultado acumulado — opción C</t>
  </si>
  <si>
    <t xml:space="preserve">La contribución mensual multiplica las unidades de cada canal por la contribución promedio por unidad de ese canal (hoja Proyeccion, tabla 2). No incluye intereses del préstamo ni el impuesto a la renta anual.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</si>
</sst>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S/ &quot;#,##0.00;&quot;(S/ &quot;#,##0.00\);\-"/>
    <numFmt numFmtId="166" formatCode="0.0%;\(0.0%\);\-"/>
    <numFmt numFmtId="167" formatCode="#,##0;\(#,##0\);\-"/>
    <numFmt numFmtId="168" formatCode="&quot;S/ &quot;#,##0;&quot;(S/ &quot;#,##0\);\-"/>
    <numFmt numFmtId="169" formatCode="0.000"/>
    <numFmt numFmtId="170" formatCode="0.00"/>
    <numFmt numFmtId="171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5C301E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color rgb="FF5C301E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8B1E2B"/>
        <bgColor rgb="FF993366"/>
      </patternFill>
    </fill>
    <fill>
      <patternFill patternType="solid">
        <fgColor rgb="FFF7ECDA"/>
        <bgColor rgb="FFFFFFFF"/>
      </patternFill>
    </fill>
    <fill>
      <patternFill patternType="solid">
        <fgColor rgb="FFE8CDB3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7EC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DB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1E2B"/>
      <rgbColor rgb="FF993366"/>
      <rgbColor rgb="FF333399"/>
      <rgbColor rgb="FF5C30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23.85" hidden="false" customHeight="false" outlineLevel="0" collapsed="false">
      <c r="A18" s="2" t="s">
        <v>13</v>
      </c>
    </row>
    <row r="19" customFormat="false" ht="23.8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23.8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22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4" t="s">
        <v>21</v>
      </c>
    </row>
    <row r="4" customFormat="false" ht="42" hidden="false" customHeight="true" outlineLevel="0" collapsed="false">
      <c r="A4" s="5" t="s">
        <v>22</v>
      </c>
      <c r="B4" s="5" t="s">
        <v>23</v>
      </c>
      <c r="C4" s="5" t="s">
        <v>24</v>
      </c>
      <c r="D4" s="5" t="s">
        <v>25</v>
      </c>
      <c r="E4" s="5" t="s">
        <v>26</v>
      </c>
    </row>
    <row r="5" customFormat="false" ht="15" hidden="false" customHeight="false" outlineLevel="0" collapsed="false">
      <c r="A5" s="4" t="s">
        <v>27</v>
      </c>
      <c r="B5" s="6" t="n">
        <f aca="false">Costeo!B15</f>
        <v>1.69325</v>
      </c>
      <c r="C5" s="6" t="n">
        <f aca="false">Costeo!B16</f>
        <v>1.69325</v>
      </c>
      <c r="D5" s="6" t="n">
        <f aca="false">Costeo!B19</f>
        <v>4</v>
      </c>
      <c r="E5" s="7" t="n">
        <f aca="false">Costeo!B22</f>
        <v>0.50049125</v>
      </c>
    </row>
    <row r="6" customFormat="false" ht="15" hidden="false" customHeight="false" outlineLevel="0" collapsed="false">
      <c r="A6" s="4" t="s">
        <v>28</v>
      </c>
      <c r="B6" s="6" t="n">
        <f aca="false">Costeo!C15</f>
        <v>9.897</v>
      </c>
      <c r="C6" s="6" t="n">
        <f aca="false">Costeo!C16</f>
        <v>1.6495</v>
      </c>
      <c r="D6" s="6" t="n">
        <f aca="false">Costeo!C19</f>
        <v>24.9</v>
      </c>
      <c r="E6" s="7" t="n">
        <f aca="false">Costeo!C22</f>
        <v>0.530985542168675</v>
      </c>
    </row>
    <row r="7" customFormat="false" ht="15" hidden="false" customHeight="false" outlineLevel="0" collapsed="false">
      <c r="A7" s="4" t="s">
        <v>29</v>
      </c>
      <c r="B7" s="6" t="n">
        <f aca="false">Costeo!D15</f>
        <v>9.393</v>
      </c>
      <c r="C7" s="6" t="n">
        <f aca="false">Costeo!D16</f>
        <v>1.5655</v>
      </c>
      <c r="D7" s="6" t="n">
        <f aca="false">Costeo!D19</f>
        <v>24.9</v>
      </c>
      <c r="E7" s="7" t="n">
        <f aca="false">Costeo!D22</f>
        <v>0.554869879518072</v>
      </c>
    </row>
    <row r="8" customFormat="false" ht="15" hidden="false" customHeight="false" outlineLevel="0" collapsed="false">
      <c r="A8" s="4" t="s">
        <v>30</v>
      </c>
      <c r="B8" s="6" t="n">
        <f aca="false">Costeo!E15</f>
        <v>18.66</v>
      </c>
      <c r="C8" s="6" t="n">
        <f aca="false">Costeo!E16</f>
        <v>1.555</v>
      </c>
      <c r="D8" s="6" t="n">
        <f aca="false">Costeo!E19</f>
        <v>46.9</v>
      </c>
      <c r="E8" s="7" t="n">
        <f aca="false">Costeo!E22</f>
        <v>0.530515991471215</v>
      </c>
    </row>
    <row r="11" customFormat="false" ht="15" hidden="false" customHeight="false" outlineLevel="0" collapsed="false">
      <c r="A11" s="5" t="s">
        <v>31</v>
      </c>
      <c r="B11" s="5" t="s">
        <v>32</v>
      </c>
      <c r="C11" s="5" t="s">
        <v>33</v>
      </c>
      <c r="D11" s="5"/>
      <c r="E11" s="5"/>
    </row>
    <row r="12" customFormat="false" ht="15" hidden="false" customHeight="false" outlineLevel="0" collapsed="false">
      <c r="A12" s="4" t="s">
        <v>34</v>
      </c>
      <c r="B12" s="8" t="n">
        <f aca="false">Proyeccion!F17</f>
        <v>76335</v>
      </c>
      <c r="C12" s="8" t="n">
        <f aca="false">Proyeccion!F17</f>
        <v>76335</v>
      </c>
    </row>
    <row r="13" customFormat="false" ht="15" hidden="false" customHeight="false" outlineLevel="0" collapsed="false">
      <c r="A13" s="4" t="s">
        <v>35</v>
      </c>
      <c r="B13" s="9" t="n">
        <f aca="false">Proyeccion!I17</f>
        <v>302900.355</v>
      </c>
      <c r="C13" s="9" t="n">
        <f aca="false">Proyeccion!I17</f>
        <v>302900.355</v>
      </c>
    </row>
    <row r="14" customFormat="false" ht="15" hidden="false" customHeight="false" outlineLevel="0" collapsed="false">
      <c r="A14" s="4" t="s">
        <v>36</v>
      </c>
      <c r="B14" s="9" t="n">
        <f aca="false">Proyeccion!J17</f>
        <v>256695.216101695</v>
      </c>
      <c r="C14" s="9" t="n">
        <f aca="false">Proyeccion!J17</f>
        <v>256695.216101695</v>
      </c>
    </row>
    <row r="15" customFormat="false" ht="15" hidden="false" customHeight="false" outlineLevel="0" collapsed="false">
      <c r="A15" s="4" t="s">
        <v>37</v>
      </c>
      <c r="B15" s="9" t="n">
        <f aca="false">Proyeccion!P17</f>
        <v>65917.995490678</v>
      </c>
      <c r="C15" s="9" t="n">
        <f aca="false">Proyeccion!Q17</f>
        <v>69363.238690678</v>
      </c>
    </row>
    <row r="16" customFormat="false" ht="15" hidden="false" customHeight="false" outlineLevel="0" collapsed="false">
      <c r="A16" s="4" t="s">
        <v>38</v>
      </c>
      <c r="B16" s="9" t="n">
        <f aca="false">Supuestos!B58*12</f>
        <v>34280.04</v>
      </c>
      <c r="C16" s="9" t="n">
        <f aca="false">Supuestos!B58*12</f>
        <v>34280.04</v>
      </c>
    </row>
    <row r="17" customFormat="false" ht="15" hidden="false" customHeight="false" outlineLevel="0" collapsed="false">
      <c r="A17" s="10" t="s">
        <v>39</v>
      </c>
      <c r="B17" s="11" t="n">
        <f aca="false">B15-B16</f>
        <v>31637.955490678</v>
      </c>
      <c r="C17" s="11" t="n">
        <f aca="false">C15-C16</f>
        <v>35083.198690678</v>
      </c>
    </row>
    <row r="18" customFormat="false" ht="15" hidden="false" customHeight="false" outlineLevel="0" collapsed="false">
      <c r="A18" s="4" t="s">
        <v>40</v>
      </c>
      <c r="B18" s="12" t="n">
        <f aca="false">IF(B14=0,0,B17/B14)</f>
        <v>0.123251052244558</v>
      </c>
      <c r="C18" s="12" t="n">
        <f aca="false">IF(C14=0,0,C17/C14)</f>
        <v>0.136672584801031</v>
      </c>
    </row>
    <row r="19" customFormat="false" ht="15" hidden="false" customHeight="false" outlineLevel="0" collapsed="false">
      <c r="A19" s="4" t="s">
        <v>41</v>
      </c>
      <c r="B19" s="13" t="n">
        <f aca="false">IF(B12=0,0,B15/B12)</f>
        <v>0.863535671588105</v>
      </c>
      <c r="C19" s="13" t="n">
        <f aca="false">IF(C12=0,0,C15/C12)</f>
        <v>0.908668876539962</v>
      </c>
    </row>
    <row r="20" customFormat="false" ht="15" hidden="false" customHeight="false" outlineLevel="0" collapsed="false">
      <c r="A20" s="10" t="s">
        <v>42</v>
      </c>
      <c r="B20" s="14" t="n">
        <f aca="false">IF(B19&lt;=0,"No alcanza",Supuestos!$B$58/B19)</f>
        <v>3308.10885292831</v>
      </c>
      <c r="C20" s="14" t="n">
        <f aca="false">IF(C19&lt;=0,"No alcanza",Supuestos!$B$58/C19)</f>
        <v>3143.79646288498</v>
      </c>
    </row>
    <row r="21" customFormat="false" ht="15" hidden="false" customHeight="false" outlineLevel="0" collapsed="false">
      <c r="A21" s="4" t="s">
        <v>43</v>
      </c>
      <c r="B21" s="15" t="n">
        <f aca="false">IF(ISNUMBER(B20),B20/6,"No alcanza")</f>
        <v>551.351475488051</v>
      </c>
      <c r="C21" s="15" t="n">
        <f aca="false">IF(ISNUMBER(C20),C20/6,"No alcanza")</f>
        <v>523.966077147497</v>
      </c>
    </row>
    <row r="23" customFormat="false" ht="15" hidden="false" customHeight="false" outlineLevel="0" collapsed="false">
      <c r="A23" s="10" t="s">
        <v>44</v>
      </c>
    </row>
    <row r="24" customFormat="false" ht="15" hidden="false" customHeight="false" outlineLevel="0" collapsed="false">
      <c r="A24" s="4" t="s">
        <v>45</v>
      </c>
    </row>
    <row r="25" customFormat="false" ht="15" hidden="false" customHeight="false" outlineLevel="0" collapsed="false">
      <c r="A25" s="4" t="s">
        <v>46</v>
      </c>
    </row>
    <row r="26" customFormat="false" ht="15" hidden="false" customHeight="false" outlineLevel="0" collapsed="false">
      <c r="A26" s="4" t="s">
        <v>47</v>
      </c>
    </row>
    <row r="27" customFormat="false" ht="15" hidden="false" customHeight="false" outlineLevel="0" collapsed="false">
      <c r="A27" s="4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70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4" t="s">
        <v>50</v>
      </c>
    </row>
    <row r="4" customFormat="false" ht="15" hidden="false" customHeight="false" outlineLevel="0" collapsed="false">
      <c r="A4" s="16" t="s">
        <v>51</v>
      </c>
      <c r="B4" s="17"/>
      <c r="C4" s="17"/>
      <c r="D4" s="17"/>
    </row>
    <row r="5" customFormat="false" ht="15" hidden="false" customHeight="false" outlineLevel="0" collapsed="false">
      <c r="A5" s="5" t="s">
        <v>52</v>
      </c>
      <c r="B5" s="5" t="s">
        <v>53</v>
      </c>
      <c r="C5" s="5" t="s">
        <v>54</v>
      </c>
      <c r="D5" s="5" t="s">
        <v>55</v>
      </c>
    </row>
    <row r="6" customFormat="false" ht="15" hidden="false" customHeight="false" outlineLevel="0" collapsed="false">
      <c r="A6" s="4" t="s">
        <v>56</v>
      </c>
      <c r="B6" s="18" t="n">
        <v>0.605</v>
      </c>
      <c r="C6" s="4" t="s">
        <v>57</v>
      </c>
      <c r="D6" s="4" t="s">
        <v>58</v>
      </c>
    </row>
    <row r="7" customFormat="false" ht="15" hidden="false" customHeight="false" outlineLevel="0" collapsed="false">
      <c r="A7" s="4" t="s">
        <v>59</v>
      </c>
      <c r="B7" s="19" t="n">
        <v>0.5</v>
      </c>
      <c r="C7" s="4" t="s">
        <v>57</v>
      </c>
      <c r="D7" s="4" t="s">
        <v>60</v>
      </c>
    </row>
    <row r="8" customFormat="false" ht="15" hidden="false" customHeight="false" outlineLevel="0" collapsed="false">
      <c r="A8" s="4" t="s">
        <v>61</v>
      </c>
      <c r="B8" s="19" t="n">
        <v>0</v>
      </c>
      <c r="C8" s="4" t="s">
        <v>57</v>
      </c>
      <c r="D8" s="4" t="s">
        <v>62</v>
      </c>
    </row>
    <row r="9" customFormat="false" ht="15" hidden="false" customHeight="false" outlineLevel="0" collapsed="false">
      <c r="A9" s="4" t="s">
        <v>63</v>
      </c>
      <c r="B9" s="18" t="n">
        <v>0.09</v>
      </c>
      <c r="C9" s="4" t="s">
        <v>57</v>
      </c>
      <c r="D9" s="4" t="s">
        <v>64</v>
      </c>
    </row>
    <row r="10" customFormat="false" ht="15" hidden="false" customHeight="false" outlineLevel="0" collapsed="false">
      <c r="A10" s="4" t="s">
        <v>65</v>
      </c>
      <c r="B10" s="18" t="n">
        <v>0.25</v>
      </c>
      <c r="C10" s="4" t="s">
        <v>57</v>
      </c>
      <c r="D10" s="4" t="s">
        <v>66</v>
      </c>
    </row>
    <row r="11" customFormat="false" ht="15" hidden="false" customHeight="false" outlineLevel="0" collapsed="false">
      <c r="A11" s="4" t="s">
        <v>67</v>
      </c>
      <c r="B11" s="18" t="n">
        <v>0.01</v>
      </c>
      <c r="C11" s="4" t="s">
        <v>57</v>
      </c>
      <c r="D11" s="4" t="s">
        <v>68</v>
      </c>
    </row>
    <row r="12" customFormat="false" ht="15" hidden="false" customHeight="false" outlineLevel="0" collapsed="false">
      <c r="A12" s="4" t="s">
        <v>69</v>
      </c>
      <c r="B12" s="18" t="n">
        <v>0.083</v>
      </c>
      <c r="C12" s="4" t="s">
        <v>57</v>
      </c>
      <c r="D12" s="4" t="s">
        <v>70</v>
      </c>
    </row>
    <row r="13" customFormat="false" ht="15" hidden="false" customHeight="false" outlineLevel="0" collapsed="false">
      <c r="A13" s="4" t="s">
        <v>71</v>
      </c>
      <c r="B13" s="18" t="n">
        <v>0.053</v>
      </c>
      <c r="C13" s="4" t="s">
        <v>57</v>
      </c>
      <c r="D13" s="4" t="s">
        <v>72</v>
      </c>
    </row>
    <row r="14" customFormat="false" ht="15" hidden="false" customHeight="false" outlineLevel="0" collapsed="false">
      <c r="A14" s="4" t="s">
        <v>73</v>
      </c>
      <c r="B14" s="18" t="n">
        <v>0.04</v>
      </c>
      <c r="C14" s="4" t="s">
        <v>57</v>
      </c>
      <c r="D14" s="4" t="s">
        <v>74</v>
      </c>
    </row>
    <row r="15" customFormat="false" ht="15" hidden="false" customHeight="false" outlineLevel="0" collapsed="false">
      <c r="A15" s="4" t="s">
        <v>75</v>
      </c>
      <c r="B15" s="20" t="n">
        <v>0.05</v>
      </c>
      <c r="C15" s="4" t="s">
        <v>76</v>
      </c>
      <c r="D15" s="4" t="s">
        <v>77</v>
      </c>
    </row>
    <row r="17" customFormat="false" ht="15" hidden="false" customHeight="false" outlineLevel="0" collapsed="false">
      <c r="A17" s="16" t="s">
        <v>78</v>
      </c>
      <c r="B17" s="17"/>
      <c r="C17" s="17"/>
      <c r="D17" s="17"/>
    </row>
    <row r="18" customFormat="false" ht="15" hidden="false" customHeight="false" outlineLevel="0" collapsed="false">
      <c r="A18" s="5" t="s">
        <v>52</v>
      </c>
      <c r="B18" s="5" t="s">
        <v>53</v>
      </c>
      <c r="C18" s="5" t="s">
        <v>54</v>
      </c>
      <c r="D18" s="5" t="s">
        <v>55</v>
      </c>
    </row>
    <row r="19" customFormat="false" ht="15" hidden="false" customHeight="false" outlineLevel="0" collapsed="false">
      <c r="A19" s="4" t="s">
        <v>79</v>
      </c>
      <c r="B19" s="21" t="n">
        <v>0.53</v>
      </c>
      <c r="C19" s="4" t="s">
        <v>80</v>
      </c>
      <c r="D19" s="4" t="s">
        <v>81</v>
      </c>
    </row>
    <row r="20" customFormat="false" ht="15" hidden="false" customHeight="false" outlineLevel="0" collapsed="false">
      <c r="A20" s="4" t="s">
        <v>82</v>
      </c>
      <c r="B20" s="21" t="n">
        <v>0.72</v>
      </c>
      <c r="C20" s="4" t="s">
        <v>80</v>
      </c>
      <c r="D20" s="4" t="s">
        <v>83</v>
      </c>
    </row>
    <row r="21" customFormat="false" ht="15" hidden="false" customHeight="false" outlineLevel="0" collapsed="false">
      <c r="A21" s="4" t="s">
        <v>84</v>
      </c>
      <c r="B21" s="22" t="n">
        <v>0.7</v>
      </c>
      <c r="C21" s="4" t="s">
        <v>80</v>
      </c>
      <c r="D21" s="4" t="s">
        <v>85</v>
      </c>
    </row>
    <row r="22" customFormat="false" ht="15" hidden="false" customHeight="false" outlineLevel="0" collapsed="false">
      <c r="A22" s="4" t="s">
        <v>86</v>
      </c>
      <c r="B22" s="21" t="n">
        <v>0.72</v>
      </c>
      <c r="C22" s="4" t="s">
        <v>80</v>
      </c>
      <c r="D22" s="4" t="s">
        <v>87</v>
      </c>
    </row>
    <row r="24" customFormat="false" ht="15" hidden="false" customHeight="false" outlineLevel="0" collapsed="false">
      <c r="A24" s="16" t="s">
        <v>88</v>
      </c>
      <c r="B24" s="17"/>
      <c r="C24" s="17"/>
      <c r="D24" s="17"/>
    </row>
    <row r="25" customFormat="false" ht="15" hidden="false" customHeight="false" outlineLevel="0" collapsed="false">
      <c r="A25" s="5" t="s">
        <v>52</v>
      </c>
      <c r="B25" s="5" t="s">
        <v>53</v>
      </c>
      <c r="C25" s="5" t="s">
        <v>54</v>
      </c>
      <c r="D25" s="5" t="s">
        <v>55</v>
      </c>
    </row>
    <row r="26" customFormat="false" ht="15" hidden="false" customHeight="false" outlineLevel="0" collapsed="false">
      <c r="A26" s="4" t="s">
        <v>89</v>
      </c>
      <c r="B26" s="20" t="n">
        <v>0.18</v>
      </c>
      <c r="C26" s="4" t="s">
        <v>76</v>
      </c>
      <c r="D26" s="4" t="s">
        <v>90</v>
      </c>
    </row>
    <row r="27" customFormat="false" ht="15" hidden="false" customHeight="false" outlineLevel="0" collapsed="false">
      <c r="A27" s="4" t="s">
        <v>91</v>
      </c>
      <c r="B27" s="20" t="n">
        <v>0.03</v>
      </c>
      <c r="C27" s="4" t="s">
        <v>76</v>
      </c>
      <c r="D27" s="4" t="s">
        <v>92</v>
      </c>
    </row>
    <row r="28" customFormat="false" ht="15" hidden="false" customHeight="false" outlineLevel="0" collapsed="false">
      <c r="A28" s="4" t="s">
        <v>93</v>
      </c>
      <c r="B28" s="20" t="n">
        <v>0.01</v>
      </c>
      <c r="C28" s="4" t="s">
        <v>76</v>
      </c>
      <c r="D28" s="4" t="s">
        <v>94</v>
      </c>
    </row>
    <row r="30" customFormat="false" ht="15" hidden="false" customHeight="false" outlineLevel="0" collapsed="false">
      <c r="A30" s="16" t="s">
        <v>95</v>
      </c>
      <c r="B30" s="17"/>
      <c r="C30" s="17"/>
      <c r="D30" s="17"/>
    </row>
    <row r="31" customFormat="false" ht="26.85" hidden="false" customHeight="false" outlineLevel="0" collapsed="false">
      <c r="A31" s="5" t="s">
        <v>96</v>
      </c>
      <c r="B31" s="5" t="s">
        <v>97</v>
      </c>
      <c r="C31" s="5" t="s">
        <v>98</v>
      </c>
      <c r="D31" s="5" t="s">
        <v>99</v>
      </c>
    </row>
    <row r="32" customFormat="false" ht="15" hidden="false" customHeight="false" outlineLevel="0" collapsed="false">
      <c r="A32" s="4" t="s">
        <v>100</v>
      </c>
      <c r="B32" s="21" t="n">
        <v>0.8</v>
      </c>
      <c r="C32" s="23" t="n">
        <v>1</v>
      </c>
      <c r="D32" s="4" t="s">
        <v>101</v>
      </c>
    </row>
    <row r="33" customFormat="false" ht="15" hidden="false" customHeight="false" outlineLevel="0" collapsed="false">
      <c r="A33" s="4" t="s">
        <v>102</v>
      </c>
      <c r="B33" s="21" t="n">
        <v>1</v>
      </c>
      <c r="C33" s="23" t="n">
        <v>1</v>
      </c>
      <c r="D33" s="4" t="s">
        <v>103</v>
      </c>
    </row>
    <row r="34" customFormat="false" ht="15" hidden="false" customHeight="false" outlineLevel="0" collapsed="false">
      <c r="A34" s="4" t="s">
        <v>104</v>
      </c>
      <c r="B34" s="21" t="n">
        <v>0.1</v>
      </c>
      <c r="C34" s="23" t="n">
        <v>0</v>
      </c>
      <c r="D34" s="4" t="s">
        <v>105</v>
      </c>
    </row>
    <row r="35" customFormat="false" ht="15" hidden="false" customHeight="false" outlineLevel="0" collapsed="false">
      <c r="A35" s="4" t="s">
        <v>106</v>
      </c>
      <c r="B35" s="21" t="n">
        <v>0.15</v>
      </c>
      <c r="C35" s="23" t="n">
        <v>0</v>
      </c>
      <c r="D35" s="4" t="s">
        <v>107</v>
      </c>
    </row>
    <row r="37" customFormat="false" ht="15" hidden="false" customHeight="false" outlineLevel="0" collapsed="false">
      <c r="A37" s="16" t="s">
        <v>108</v>
      </c>
      <c r="B37" s="17"/>
      <c r="C37" s="17"/>
      <c r="D37" s="17"/>
      <c r="E37" s="17"/>
    </row>
    <row r="38" customFormat="false" ht="26.85" hidden="false" customHeight="false" outlineLevel="0" collapsed="false">
      <c r="A38" s="5" t="s">
        <v>96</v>
      </c>
      <c r="B38" s="5" t="s">
        <v>27</v>
      </c>
      <c r="C38" s="5" t="s">
        <v>109</v>
      </c>
      <c r="D38" s="5" t="s">
        <v>30</v>
      </c>
      <c r="E38" s="5" t="s">
        <v>99</v>
      </c>
    </row>
    <row r="39" customFormat="false" ht="15" hidden="false" customHeight="false" outlineLevel="0" collapsed="false">
      <c r="A39" s="4" t="s">
        <v>100</v>
      </c>
      <c r="B39" s="24" t="n">
        <v>4</v>
      </c>
      <c r="C39" s="24" t="n">
        <v>24.9</v>
      </c>
      <c r="D39" s="24" t="n">
        <v>46.9</v>
      </c>
      <c r="E39" s="4" t="s">
        <v>110</v>
      </c>
    </row>
    <row r="40" customFormat="false" ht="15" hidden="false" customHeight="false" outlineLevel="0" collapsed="false">
      <c r="A40" s="4" t="s">
        <v>102</v>
      </c>
      <c r="B40" s="25" t="n">
        <v>5</v>
      </c>
      <c r="C40" s="24" t="n">
        <v>26</v>
      </c>
      <c r="D40" s="24" t="n">
        <v>48</v>
      </c>
      <c r="E40" s="4" t="s">
        <v>111</v>
      </c>
    </row>
    <row r="41" customFormat="false" ht="15" hidden="false" customHeight="false" outlineLevel="0" collapsed="false">
      <c r="A41" s="4" t="s">
        <v>104</v>
      </c>
      <c r="B41" s="24" t="n">
        <v>3</v>
      </c>
      <c r="C41" s="24" t="n">
        <v>0</v>
      </c>
      <c r="D41" s="24" t="n">
        <v>0</v>
      </c>
      <c r="E41" s="4" t="s">
        <v>112</v>
      </c>
    </row>
    <row r="42" customFormat="false" ht="15" hidden="false" customHeight="false" outlineLevel="0" collapsed="false">
      <c r="A42" s="4" t="s">
        <v>106</v>
      </c>
      <c r="B42" s="24" t="n">
        <v>0</v>
      </c>
      <c r="C42" s="24" t="n">
        <v>17.34</v>
      </c>
      <c r="D42" s="24" t="n">
        <v>0</v>
      </c>
      <c r="E42" s="4" t="s">
        <v>113</v>
      </c>
    </row>
    <row r="44" customFormat="false" ht="15" hidden="false" customHeight="false" outlineLevel="0" collapsed="false">
      <c r="A44" s="16" t="s">
        <v>114</v>
      </c>
      <c r="B44" s="17"/>
      <c r="C44" s="17"/>
      <c r="D44" s="17"/>
      <c r="E44" s="17"/>
    </row>
    <row r="45" customFormat="false" ht="26.85" hidden="false" customHeight="false" outlineLevel="0" collapsed="false">
      <c r="A45" s="5" t="s">
        <v>96</v>
      </c>
      <c r="B45" s="5" t="s">
        <v>27</v>
      </c>
      <c r="C45" s="5" t="s">
        <v>109</v>
      </c>
      <c r="D45" s="5" t="s">
        <v>30</v>
      </c>
      <c r="E45" s="5" t="s">
        <v>115</v>
      </c>
    </row>
    <row r="46" customFormat="false" ht="15" hidden="false" customHeight="false" outlineLevel="0" collapsed="false">
      <c r="A46" s="4" t="s">
        <v>100</v>
      </c>
      <c r="B46" s="26" t="n">
        <v>0.1</v>
      </c>
      <c r="C46" s="26" t="n">
        <v>0.6</v>
      </c>
      <c r="D46" s="26" t="n">
        <v>0.3</v>
      </c>
      <c r="E46" s="12" t="n">
        <f aca="false">SUM(B46:D46)</f>
        <v>1</v>
      </c>
    </row>
    <row r="47" customFormat="false" ht="15" hidden="false" customHeight="false" outlineLevel="0" collapsed="false">
      <c r="A47" s="4" t="s">
        <v>102</v>
      </c>
      <c r="B47" s="26" t="n">
        <v>0.7</v>
      </c>
      <c r="C47" s="26" t="n">
        <v>0.3</v>
      </c>
      <c r="D47" s="26" t="n">
        <v>0</v>
      </c>
      <c r="E47" s="12" t="n">
        <f aca="false">SUM(B47:D47)</f>
        <v>1</v>
      </c>
    </row>
    <row r="48" customFormat="false" ht="15" hidden="false" customHeight="false" outlineLevel="0" collapsed="false">
      <c r="A48" s="4" t="s">
        <v>104</v>
      </c>
      <c r="B48" s="26" t="n">
        <v>1</v>
      </c>
      <c r="C48" s="26" t="n">
        <v>0</v>
      </c>
      <c r="D48" s="26" t="n">
        <v>0</v>
      </c>
      <c r="E48" s="12" t="n">
        <f aca="false">SUM(B48:D48)</f>
        <v>1</v>
      </c>
    </row>
    <row r="49" customFormat="false" ht="15" hidden="false" customHeight="false" outlineLevel="0" collapsed="false">
      <c r="A49" s="4" t="s">
        <v>106</v>
      </c>
      <c r="B49" s="26" t="n">
        <v>0</v>
      </c>
      <c r="C49" s="26" t="n">
        <v>1</v>
      </c>
      <c r="D49" s="26" t="n">
        <v>0</v>
      </c>
      <c r="E49" s="12" t="n">
        <f aca="false">SUM(B49:D49)</f>
        <v>1</v>
      </c>
    </row>
    <row r="50" customFormat="false" ht="15" hidden="false" customHeight="false" outlineLevel="0" collapsed="false">
      <c r="A50" s="4" t="s">
        <v>116</v>
      </c>
    </row>
    <row r="52" customFormat="false" ht="15" hidden="false" customHeight="false" outlineLevel="0" collapsed="false">
      <c r="A52" s="16" t="s">
        <v>117</v>
      </c>
      <c r="B52" s="17"/>
      <c r="C52" s="17"/>
      <c r="D52" s="17"/>
    </row>
    <row r="53" customFormat="false" ht="15" hidden="false" customHeight="false" outlineLevel="0" collapsed="false">
      <c r="A53" s="5" t="s">
        <v>52</v>
      </c>
      <c r="B53" s="5" t="s">
        <v>118</v>
      </c>
      <c r="C53" s="5"/>
      <c r="D53" s="5" t="s">
        <v>55</v>
      </c>
    </row>
    <row r="54" customFormat="false" ht="15" hidden="false" customHeight="false" outlineLevel="0" collapsed="false">
      <c r="A54" s="4" t="s">
        <v>119</v>
      </c>
      <c r="B54" s="24" t="n">
        <v>700</v>
      </c>
      <c r="D54" s="4" t="s">
        <v>120</v>
      </c>
    </row>
    <row r="55" customFormat="false" ht="15" hidden="false" customHeight="false" outlineLevel="0" collapsed="false">
      <c r="A55" s="4" t="s">
        <v>121</v>
      </c>
      <c r="B55" s="24" t="n">
        <v>800</v>
      </c>
      <c r="D55" s="4" t="s">
        <v>122</v>
      </c>
    </row>
    <row r="56" customFormat="false" ht="15" hidden="false" customHeight="false" outlineLevel="0" collapsed="false">
      <c r="A56" s="4" t="s">
        <v>123</v>
      </c>
      <c r="B56" s="24" t="n">
        <v>1291.67</v>
      </c>
      <c r="D56" s="4" t="s">
        <v>124</v>
      </c>
    </row>
    <row r="57" customFormat="false" ht="15" hidden="false" customHeight="false" outlineLevel="0" collapsed="false">
      <c r="A57" s="4" t="s">
        <v>125</v>
      </c>
      <c r="B57" s="24" t="n">
        <v>65</v>
      </c>
      <c r="D57" s="4" t="s">
        <v>124</v>
      </c>
    </row>
    <row r="58" customFormat="false" ht="15" hidden="false" customHeight="false" outlineLevel="0" collapsed="false">
      <c r="A58" s="10" t="s">
        <v>126</v>
      </c>
      <c r="B58" s="27" t="n">
        <f aca="false">SUM(B54:B57)</f>
        <v>2856.67</v>
      </c>
    </row>
    <row r="60" customFormat="false" ht="15" hidden="false" customHeight="false" outlineLevel="0" collapsed="false">
      <c r="A60" s="16" t="s">
        <v>127</v>
      </c>
      <c r="B60" s="17"/>
      <c r="C60" s="17"/>
      <c r="D60" s="17"/>
    </row>
    <row r="61" customFormat="false" ht="26.85" hidden="false" customHeight="false" outlineLevel="0" collapsed="false">
      <c r="A61" s="5" t="s">
        <v>128</v>
      </c>
      <c r="B61" s="5" t="s">
        <v>129</v>
      </c>
      <c r="C61" s="5"/>
      <c r="D61" s="5" t="s">
        <v>99</v>
      </c>
    </row>
    <row r="62" customFormat="false" ht="15" hidden="false" customHeight="false" outlineLevel="0" collapsed="false">
      <c r="A62" s="4" t="s">
        <v>130</v>
      </c>
      <c r="B62" s="20" t="n">
        <v>0.4</v>
      </c>
      <c r="D62" s="4" t="s">
        <v>131</v>
      </c>
    </row>
    <row r="63" customFormat="false" ht="15" hidden="false" customHeight="false" outlineLevel="0" collapsed="false">
      <c r="A63" s="4" t="s">
        <v>132</v>
      </c>
      <c r="B63" s="20" t="n">
        <v>0.35</v>
      </c>
      <c r="D63" s="4"/>
    </row>
    <row r="64" customFormat="false" ht="15" hidden="false" customHeight="false" outlineLevel="0" collapsed="false">
      <c r="A64" s="4" t="s">
        <v>133</v>
      </c>
      <c r="B64" s="20" t="n">
        <v>0.25</v>
      </c>
      <c r="D64" s="4"/>
    </row>
    <row r="65" customFormat="false" ht="15" hidden="false" customHeight="false" outlineLevel="0" collapsed="false">
      <c r="A65" s="10" t="s">
        <v>134</v>
      </c>
      <c r="B65" s="12" t="n">
        <f aca="false">SUM(B62:B64)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24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4" t="s">
        <v>136</v>
      </c>
    </row>
    <row r="4" customFormat="false" ht="42" hidden="false" customHeight="true" outlineLevel="0" collapsed="false">
      <c r="A4" s="5" t="s">
        <v>52</v>
      </c>
      <c r="B4" s="5" t="s">
        <v>27</v>
      </c>
      <c r="C4" s="5" t="s">
        <v>28</v>
      </c>
      <c r="D4" s="5" t="s">
        <v>29</v>
      </c>
      <c r="E4" s="5" t="s">
        <v>137</v>
      </c>
    </row>
    <row r="5" customFormat="false" ht="15" hidden="false" customHeight="false" outlineLevel="0" collapsed="false">
      <c r="A5" s="4" t="s">
        <v>138</v>
      </c>
      <c r="B5" s="23" t="n">
        <v>1</v>
      </c>
      <c r="C5" s="23" t="n">
        <v>6</v>
      </c>
      <c r="D5" s="23" t="n">
        <v>6</v>
      </c>
      <c r="E5" s="23" t="n">
        <v>12</v>
      </c>
    </row>
    <row r="6" customFormat="false" ht="15" hidden="false" customHeight="false" outlineLevel="0" collapsed="false">
      <c r="A6" s="4" t="s">
        <v>139</v>
      </c>
      <c r="B6" s="6" t="n">
        <f aca="false">B5*Supuestos!$B$6</f>
        <v>0.605</v>
      </c>
      <c r="C6" s="6" t="n">
        <f aca="false">C5*Supuestos!$B$6</f>
        <v>3.63</v>
      </c>
      <c r="D6" s="6" t="n">
        <f aca="false">D5*Supuestos!$B$6</f>
        <v>3.63</v>
      </c>
      <c r="E6" s="6" t="n">
        <f aca="false">E5*Supuestos!$B$6</f>
        <v>7.26</v>
      </c>
    </row>
    <row r="7" customFormat="false" ht="15" hidden="false" customHeight="false" outlineLevel="0" collapsed="false">
      <c r="A7" s="4" t="s">
        <v>140</v>
      </c>
      <c r="B7" s="6" t="n">
        <f aca="false">B5*Supuestos!$B$7</f>
        <v>0.5</v>
      </c>
      <c r="C7" s="6" t="n">
        <f aca="false">C5*Supuestos!$B$7</f>
        <v>3</v>
      </c>
      <c r="D7" s="6" t="n">
        <f aca="false">D5*(Supuestos!$B$7-Supuestos!$B$8)</f>
        <v>3</v>
      </c>
      <c r="E7" s="6" t="n">
        <f aca="false">E5*Supuestos!$B$7</f>
        <v>6</v>
      </c>
    </row>
    <row r="8" customFormat="false" ht="15" hidden="false" customHeight="false" outlineLevel="0" collapsed="false">
      <c r="A8" s="4" t="s">
        <v>141</v>
      </c>
      <c r="B8" s="6" t="n">
        <f aca="false">B5*Supuestos!$B$9</f>
        <v>0.09</v>
      </c>
      <c r="C8" s="6" t="n">
        <f aca="false">C5*Supuestos!$B$9</f>
        <v>0.54</v>
      </c>
      <c r="D8" s="13" t="n">
        <v>0</v>
      </c>
      <c r="E8" s="6" t="n">
        <f aca="false">E5*Supuestos!$B$9</f>
        <v>1.08</v>
      </c>
    </row>
    <row r="9" customFormat="false" ht="15" hidden="false" customHeight="false" outlineLevel="0" collapsed="false">
      <c r="A9" s="4" t="s">
        <v>142</v>
      </c>
      <c r="B9" s="6" t="n">
        <f aca="false">Supuestos!$B$10</f>
        <v>0.25</v>
      </c>
      <c r="C9" s="13" t="n">
        <v>0</v>
      </c>
      <c r="D9" s="13" t="n">
        <v>0</v>
      </c>
      <c r="E9" s="13" t="n">
        <v>0</v>
      </c>
    </row>
    <row r="10" customFormat="false" ht="15" hidden="false" customHeight="false" outlineLevel="0" collapsed="false">
      <c r="A10" s="4" t="s">
        <v>143</v>
      </c>
      <c r="B10" s="13" t="n">
        <v>0</v>
      </c>
      <c r="C10" s="13" t="n">
        <v>0</v>
      </c>
      <c r="D10" s="6" t="n">
        <f aca="false">D5*Supuestos!$B$11</f>
        <v>0.06</v>
      </c>
      <c r="E10" s="13" t="n">
        <v>0</v>
      </c>
    </row>
    <row r="11" customFormat="false" ht="15" hidden="false" customHeight="false" outlineLevel="0" collapsed="false">
      <c r="A11" s="4" t="s">
        <v>144</v>
      </c>
      <c r="B11" s="13" t="n">
        <v>0</v>
      </c>
      <c r="C11" s="6" t="n">
        <f aca="false">Supuestos!$B$19</f>
        <v>0.53</v>
      </c>
      <c r="D11" s="6" t="n">
        <f aca="false">Supuestos!$B$19</f>
        <v>0.53</v>
      </c>
      <c r="E11" s="6" t="n">
        <f aca="false">Supuestos!$B$21</f>
        <v>0.7</v>
      </c>
    </row>
    <row r="12" customFormat="false" ht="15" hidden="false" customHeight="false" outlineLevel="0" collapsed="false">
      <c r="A12" s="4" t="s">
        <v>145</v>
      </c>
      <c r="B12" s="13" t="n">
        <v>0</v>
      </c>
      <c r="C12" s="6" t="n">
        <f aca="false">Supuestos!$B$20</f>
        <v>0.72</v>
      </c>
      <c r="D12" s="6" t="n">
        <f aca="false">Supuestos!$B$20</f>
        <v>0.72</v>
      </c>
      <c r="E12" s="6" t="n">
        <f aca="false">Supuestos!$B$22</f>
        <v>0.72</v>
      </c>
    </row>
    <row r="13" customFormat="false" ht="15" hidden="false" customHeight="false" outlineLevel="0" collapsed="false">
      <c r="A13" s="4" t="s">
        <v>146</v>
      </c>
      <c r="B13" s="13" t="n">
        <f aca="false">Supuestos!$B$15*SUM(B6:B12)</f>
        <v>0.07225</v>
      </c>
      <c r="C13" s="13" t="n">
        <f aca="false">Supuestos!$B$15*SUM(C6:C12)</f>
        <v>0.421</v>
      </c>
      <c r="D13" s="13" t="n">
        <f aca="false">Supuestos!$B$15*SUM(D6:D12)</f>
        <v>0.397</v>
      </c>
      <c r="E13" s="13" t="n">
        <f aca="false">Supuestos!$B$15*SUM(E6:E12)</f>
        <v>0.788</v>
      </c>
    </row>
    <row r="14" customFormat="false" ht="15" hidden="false" customHeight="false" outlineLevel="0" collapsed="false">
      <c r="A14" s="4" t="s">
        <v>147</v>
      </c>
      <c r="B14" s="13" t="n">
        <f aca="false">B5*(Supuestos!$B$12+Supuestos!$B$13+Supuestos!$B$14)</f>
        <v>0.176</v>
      </c>
      <c r="C14" s="13" t="n">
        <f aca="false">C5*(Supuestos!$B$12+Supuestos!$B$13+Supuestos!$B$14)</f>
        <v>1.056</v>
      </c>
      <c r="D14" s="13" t="n">
        <f aca="false">D5*(Supuestos!$B$12+Supuestos!$B$13+Supuestos!$B$14)</f>
        <v>1.056</v>
      </c>
      <c r="E14" s="13" t="n">
        <f aca="false">E5*(Supuestos!$B$12+Supuestos!$B$13+Supuestos!$B$14)</f>
        <v>2.112</v>
      </c>
    </row>
    <row r="15" customFormat="false" ht="15" hidden="false" customHeight="false" outlineLevel="0" collapsed="false">
      <c r="A15" s="10" t="s">
        <v>148</v>
      </c>
      <c r="B15" s="27" t="n">
        <f aca="false">SUM(B6:B14)</f>
        <v>1.69325</v>
      </c>
      <c r="C15" s="27" t="n">
        <f aca="false">SUM(C6:C14)</f>
        <v>9.897</v>
      </c>
      <c r="D15" s="27" t="n">
        <f aca="false">SUM(D6:D14)</f>
        <v>9.393</v>
      </c>
      <c r="E15" s="27" t="n">
        <f aca="false">SUM(E6:E14)</f>
        <v>18.66</v>
      </c>
    </row>
    <row r="16" customFormat="false" ht="15" hidden="false" customHeight="false" outlineLevel="0" collapsed="false">
      <c r="A16" s="10" t="s">
        <v>149</v>
      </c>
      <c r="B16" s="27" t="n">
        <f aca="false">IF(B5=0,0,B15/B5)</f>
        <v>1.69325</v>
      </c>
      <c r="C16" s="27" t="n">
        <f aca="false">IF(C5=0,0,C15/C5)</f>
        <v>1.6495</v>
      </c>
      <c r="D16" s="27" t="n">
        <f aca="false">IF(D5=0,0,D15/D5)</f>
        <v>1.5655</v>
      </c>
      <c r="E16" s="27" t="n">
        <f aca="false">IF(E5=0,0,E15/E5)</f>
        <v>1.555</v>
      </c>
    </row>
    <row r="18" customFormat="false" ht="15" hidden="false" customHeight="false" outlineLevel="0" collapsed="false">
      <c r="A18" s="10" t="s">
        <v>150</v>
      </c>
    </row>
    <row r="19" customFormat="false" ht="15" hidden="false" customHeight="false" outlineLevel="0" collapsed="false">
      <c r="A19" s="4" t="s">
        <v>151</v>
      </c>
      <c r="B19" s="6" t="n">
        <f aca="false">Supuestos!B39</f>
        <v>4</v>
      </c>
      <c r="C19" s="6" t="n">
        <f aca="false">Supuestos!C39</f>
        <v>24.9</v>
      </c>
      <c r="D19" s="6" t="n">
        <f aca="false">Supuestos!C39</f>
        <v>24.9</v>
      </c>
      <c r="E19" s="6" t="n">
        <f aca="false">Supuestos!D39</f>
        <v>46.9</v>
      </c>
    </row>
    <row r="20" customFormat="false" ht="15" hidden="false" customHeight="false" outlineLevel="0" collapsed="false">
      <c r="A20" s="4" t="s">
        <v>152</v>
      </c>
      <c r="B20" s="13" t="n">
        <f aca="false">B19/(1+Supuestos!$B$26)</f>
        <v>3.38983050847458</v>
      </c>
      <c r="C20" s="13" t="n">
        <f aca="false">C19/(1+Supuestos!$B$26)</f>
        <v>21.1016949152542</v>
      </c>
      <c r="D20" s="13" t="n">
        <f aca="false">D19/(1+Supuestos!$B$26)</f>
        <v>21.1016949152542</v>
      </c>
      <c r="E20" s="13" t="n">
        <f aca="false">E19/(1+Supuestos!$B$26)</f>
        <v>39.7457627118644</v>
      </c>
    </row>
    <row r="21" customFormat="false" ht="15" hidden="false" customHeight="false" outlineLevel="0" collapsed="false">
      <c r="A21" s="4" t="s">
        <v>153</v>
      </c>
      <c r="B21" s="13" t="n">
        <f aca="false">B20-B15</f>
        <v>1.69658050847458</v>
      </c>
      <c r="C21" s="13" t="n">
        <f aca="false">C20-C15</f>
        <v>11.2046949152542</v>
      </c>
      <c r="D21" s="13" t="n">
        <f aca="false">D20-D15</f>
        <v>11.7086949152542</v>
      </c>
      <c r="E21" s="13" t="n">
        <f aca="false">E20-E15</f>
        <v>21.0857627118644</v>
      </c>
    </row>
    <row r="22" customFormat="false" ht="15" hidden="false" customHeight="false" outlineLevel="0" collapsed="false">
      <c r="A22" s="4" t="s">
        <v>154</v>
      </c>
      <c r="B22" s="12" t="n">
        <f aca="false">IF(B20=0,0,B21/B20)</f>
        <v>0.50049125</v>
      </c>
      <c r="C22" s="12" t="n">
        <f aca="false">IF(C20=0,0,C21/C20)</f>
        <v>0.530985542168675</v>
      </c>
      <c r="D22" s="12" t="n">
        <f aca="false">IF(D20=0,0,D21/D20)</f>
        <v>0.554869879518072</v>
      </c>
      <c r="E22" s="12" t="n">
        <f aca="false">IF(E20=0,0,E21/E20)</f>
        <v>0.530515991471215</v>
      </c>
    </row>
    <row r="24" customFormat="false" ht="15" hidden="false" customHeight="false" outlineLevel="0" collapsed="false">
      <c r="A24" s="4" t="s">
        <v>155</v>
      </c>
    </row>
    <row r="25" customFormat="false" ht="15" hidden="false" customHeight="false" outlineLevel="0" collapsed="false">
      <c r="A25" s="4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19" min="3" style="0" width="15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4" t="s">
        <v>158</v>
      </c>
    </row>
    <row r="4" customFormat="false" ht="57.75" hidden="false" customHeight="true" outlineLevel="0" collapsed="false">
      <c r="A4" s="5" t="s">
        <v>96</v>
      </c>
      <c r="B4" s="5" t="s">
        <v>22</v>
      </c>
      <c r="C4" s="5" t="s">
        <v>159</v>
      </c>
      <c r="D4" s="5" t="s">
        <v>160</v>
      </c>
      <c r="E4" s="5" t="s">
        <v>161</v>
      </c>
      <c r="F4" s="5" t="s">
        <v>34</v>
      </c>
      <c r="G4" s="5" t="s">
        <v>162</v>
      </c>
      <c r="H4" s="5" t="s">
        <v>163</v>
      </c>
      <c r="I4" s="5" t="s">
        <v>164</v>
      </c>
      <c r="J4" s="5" t="s">
        <v>165</v>
      </c>
      <c r="K4" s="5" t="s">
        <v>166</v>
      </c>
      <c r="L4" s="5" t="s">
        <v>167</v>
      </c>
      <c r="M4" s="5" t="s">
        <v>168</v>
      </c>
      <c r="N4" s="5" t="s">
        <v>169</v>
      </c>
      <c r="O4" s="5" t="s">
        <v>170</v>
      </c>
      <c r="P4" s="5" t="s">
        <v>171</v>
      </c>
      <c r="Q4" s="5" t="s">
        <v>172</v>
      </c>
      <c r="R4" s="5" t="s">
        <v>173</v>
      </c>
      <c r="S4" s="5" t="s">
        <v>174</v>
      </c>
    </row>
    <row r="5" customFormat="false" ht="15" hidden="false" customHeight="false" outlineLevel="0" collapsed="false">
      <c r="A5" s="4" t="s">
        <v>100</v>
      </c>
      <c r="B5" s="4" t="s">
        <v>27</v>
      </c>
      <c r="C5" s="28" t="n">
        <f aca="false">Costeo!B5</f>
        <v>1</v>
      </c>
      <c r="D5" s="8" t="n">
        <f aca="false">Mensual!$N$5</f>
        <v>60318</v>
      </c>
      <c r="E5" s="7" t="n">
        <f aca="false">Supuestos!B46</f>
        <v>0.1</v>
      </c>
      <c r="F5" s="15" t="n">
        <f aca="false">D5*E5</f>
        <v>6031.8</v>
      </c>
      <c r="G5" s="15" t="n">
        <f aca="false">IF(C5=0,0,F5/C5)</f>
        <v>6031.8</v>
      </c>
      <c r="H5" s="6" t="n">
        <f aca="false">Supuestos!B39</f>
        <v>4</v>
      </c>
      <c r="I5" s="29" t="n">
        <f aca="false">G5*H5</f>
        <v>24127.2</v>
      </c>
      <c r="J5" s="29" t="n">
        <f aca="false">I5/(1+Supuestos!$B$26)</f>
        <v>20446.779661017</v>
      </c>
      <c r="K5" s="6" t="n">
        <f aca="false">Costeo!B15</f>
        <v>1.69325</v>
      </c>
      <c r="L5" s="6" t="n">
        <f aca="false">Costeo!B15</f>
        <v>1.69325</v>
      </c>
      <c r="M5" s="13" t="n">
        <f aca="false">IF(H5=0,0,C5*Supuestos!$B$32+H5*Supuestos!$B$27*Supuestos!$C$32+H5/(1+Supuestos!$B$26)*Supuestos!$B$28)</f>
        <v>0.953898305084746</v>
      </c>
      <c r="N5" s="13" t="n">
        <f aca="false">IF(H5=0,0,H5/(1+Supuestos!$B$26)-K5-M5)</f>
        <v>0.742682203389831</v>
      </c>
      <c r="O5" s="13" t="n">
        <f aca="false">IF(H5=0,0,H5/(1+Supuestos!$B$26)-L5-M5)</f>
        <v>0.742682203389831</v>
      </c>
      <c r="P5" s="29" t="n">
        <f aca="false">G5*N5</f>
        <v>4479.71051440678</v>
      </c>
      <c r="Q5" s="29" t="n">
        <f aca="false">G5*O5</f>
        <v>4479.71051440678</v>
      </c>
      <c r="R5" s="12" t="n">
        <f aca="false">IF(H5=0,0,N5/(H5/(1+Supuestos!$B$26)))</f>
        <v>0.21909125</v>
      </c>
      <c r="S5" s="12" t="n">
        <f aca="false">IF(H5=0,0,O5/(H5/(1+Supuestos!$B$26)))</f>
        <v>0.21909125</v>
      </c>
    </row>
    <row r="6" customFormat="false" ht="15" hidden="false" customHeight="false" outlineLevel="0" collapsed="false">
      <c r="A6" s="4" t="s">
        <v>100</v>
      </c>
      <c r="B6" s="4" t="s">
        <v>109</v>
      </c>
      <c r="C6" s="28" t="n">
        <f aca="false">Costeo!C5</f>
        <v>6</v>
      </c>
      <c r="D6" s="8" t="n">
        <f aca="false">Mensual!$N$5</f>
        <v>60318</v>
      </c>
      <c r="E6" s="7" t="n">
        <f aca="false">Supuestos!C46</f>
        <v>0.6</v>
      </c>
      <c r="F6" s="15" t="n">
        <f aca="false">D6*E6</f>
        <v>36190.8</v>
      </c>
      <c r="G6" s="15" t="n">
        <f aca="false">IF(C6=0,0,F6/C6)</f>
        <v>6031.8</v>
      </c>
      <c r="H6" s="6" t="n">
        <f aca="false">Supuestos!C39</f>
        <v>24.9</v>
      </c>
      <c r="I6" s="29" t="n">
        <f aca="false">G6*H6</f>
        <v>150191.82</v>
      </c>
      <c r="J6" s="29" t="n">
        <f aca="false">I6/(1+Supuestos!$B$26)</f>
        <v>127281.203389831</v>
      </c>
      <c r="K6" s="6" t="n">
        <f aca="false">Costeo!C15</f>
        <v>9.897</v>
      </c>
      <c r="L6" s="6" t="n">
        <f aca="false">Costeo!D15</f>
        <v>9.393</v>
      </c>
      <c r="M6" s="13" t="n">
        <f aca="false">IF(H6=0,0,C6*Supuestos!$B$32+H6*Supuestos!$B$27*Supuestos!$C$32+H6/(1+Supuestos!$B$26)*Supuestos!$B$28)</f>
        <v>5.75801694915254</v>
      </c>
      <c r="N6" s="13" t="n">
        <f aca="false">IF(H6=0,0,H6/(1+Supuestos!$B$26)-K6-M6)</f>
        <v>5.4466779661017</v>
      </c>
      <c r="O6" s="13" t="n">
        <f aca="false">IF(H6=0,0,H6/(1+Supuestos!$B$26)-L6-M6)</f>
        <v>5.9506779661017</v>
      </c>
      <c r="P6" s="29" t="n">
        <f aca="false">G6*N6</f>
        <v>32853.2721559322</v>
      </c>
      <c r="Q6" s="29" t="n">
        <f aca="false">G6*O6</f>
        <v>35893.2993559322</v>
      </c>
      <c r="R6" s="12" t="n">
        <f aca="false">IF(H6=0,0,N6/(H6/(1+Supuestos!$B$26)))</f>
        <v>0.258115662650603</v>
      </c>
      <c r="S6" s="12" t="n">
        <f aca="false">IF(H6=0,0,O6/(H6/(1+Supuestos!$B$26)))</f>
        <v>0.282</v>
      </c>
    </row>
    <row r="7" customFormat="false" ht="15" hidden="false" customHeight="false" outlineLevel="0" collapsed="false">
      <c r="A7" s="4" t="s">
        <v>100</v>
      </c>
      <c r="B7" s="4" t="s">
        <v>30</v>
      </c>
      <c r="C7" s="28" t="n">
        <f aca="false">Costeo!E5</f>
        <v>12</v>
      </c>
      <c r="D7" s="8" t="n">
        <f aca="false">Mensual!$N$5</f>
        <v>60318</v>
      </c>
      <c r="E7" s="7" t="n">
        <f aca="false">Supuestos!D46</f>
        <v>0.3</v>
      </c>
      <c r="F7" s="15" t="n">
        <f aca="false">D7*E7</f>
        <v>18095.4</v>
      </c>
      <c r="G7" s="15" t="n">
        <f aca="false">IF(C7=0,0,F7/C7)</f>
        <v>1507.95</v>
      </c>
      <c r="H7" s="6" t="n">
        <f aca="false">Supuestos!D39</f>
        <v>46.9</v>
      </c>
      <c r="I7" s="29" t="n">
        <f aca="false">G7*H7</f>
        <v>70722.855</v>
      </c>
      <c r="J7" s="29" t="n">
        <f aca="false">I7/(1+Supuestos!$B$26)</f>
        <v>59934.6228813559</v>
      </c>
      <c r="K7" s="6" t="n">
        <f aca="false">Costeo!E15</f>
        <v>18.66</v>
      </c>
      <c r="L7" s="6" t="n">
        <f aca="false">Costeo!E15</f>
        <v>18.66</v>
      </c>
      <c r="M7" s="13" t="n">
        <f aca="false">IF(H7=0,0,C7*Supuestos!$B$32+H7*Supuestos!$B$27*Supuestos!$C$32+H7/(1+Supuestos!$B$26)*Supuestos!$B$28)</f>
        <v>11.4044576271186</v>
      </c>
      <c r="N7" s="13" t="n">
        <f aca="false">IF(H7=0,0,H7/(1+Supuestos!$B$26)-K7-M7)</f>
        <v>9.68130508474577</v>
      </c>
      <c r="O7" s="13" t="n">
        <f aca="false">IF(H7=0,0,H7/(1+Supuestos!$B$26)-L7-M7)</f>
        <v>9.68130508474577</v>
      </c>
      <c r="P7" s="29" t="n">
        <f aca="false">G7*N7</f>
        <v>14598.9240025424</v>
      </c>
      <c r="Q7" s="29" t="n">
        <f aca="false">G7*O7</f>
        <v>14598.9240025424</v>
      </c>
      <c r="R7" s="12" t="n">
        <f aca="false">IF(H7=0,0,N7/(H7/(1+Supuestos!$B$26)))</f>
        <v>0.243580810234542</v>
      </c>
      <c r="S7" s="12" t="n">
        <f aca="false">IF(H7=0,0,O7/(H7/(1+Supuestos!$B$26)))</f>
        <v>0.243580810234542</v>
      </c>
    </row>
    <row r="8" customFormat="false" ht="15" hidden="false" customHeight="false" outlineLevel="0" collapsed="false">
      <c r="A8" s="4" t="s">
        <v>102</v>
      </c>
      <c r="B8" s="4" t="s">
        <v>27</v>
      </c>
      <c r="C8" s="28" t="n">
        <f aca="false">Costeo!B5</f>
        <v>1</v>
      </c>
      <c r="D8" s="8" t="n">
        <f aca="false">Mensual!$N$6</f>
        <v>5640</v>
      </c>
      <c r="E8" s="7" t="n">
        <f aca="false">Supuestos!B47</f>
        <v>0.7</v>
      </c>
      <c r="F8" s="15" t="n">
        <f aca="false">D8*E8</f>
        <v>3948</v>
      </c>
      <c r="G8" s="15" t="n">
        <f aca="false">IF(C8=0,0,F8/C8)</f>
        <v>3948</v>
      </c>
      <c r="H8" s="6" t="n">
        <f aca="false">Supuestos!B40</f>
        <v>5</v>
      </c>
      <c r="I8" s="29" t="n">
        <f aca="false">G8*H8</f>
        <v>19740</v>
      </c>
      <c r="J8" s="29" t="n">
        <f aca="false">I8/(1+Supuestos!$B$26)</f>
        <v>16728.813559322</v>
      </c>
      <c r="K8" s="6" t="n">
        <f aca="false">Costeo!B15</f>
        <v>1.69325</v>
      </c>
      <c r="L8" s="6" t="n">
        <f aca="false">Costeo!B15</f>
        <v>1.69325</v>
      </c>
      <c r="M8" s="13" t="n">
        <f aca="false">IF(H8=0,0,C8*Supuestos!$B$33+H8*Supuestos!$B$27*Supuestos!$C$33+H8/(1+Supuestos!$B$26)*Supuestos!$B$28)</f>
        <v>1.19237288135593</v>
      </c>
      <c r="N8" s="13" t="n">
        <f aca="false">IF(H8=0,0,H8/(1+Supuestos!$B$26)-K8-M8)</f>
        <v>1.35166525423729</v>
      </c>
      <c r="O8" s="13" t="n">
        <f aca="false">IF(H8=0,0,H8/(1+Supuestos!$B$26)-L8-M8)</f>
        <v>1.35166525423729</v>
      </c>
      <c r="P8" s="29" t="n">
        <f aca="false">G8*N8</f>
        <v>5336.37442372881</v>
      </c>
      <c r="Q8" s="29" t="n">
        <f aca="false">G8*O8</f>
        <v>5336.37442372881</v>
      </c>
      <c r="R8" s="12" t="n">
        <f aca="false">IF(H8=0,0,N8/(H8/(1+Supuestos!$B$26)))</f>
        <v>0.318993</v>
      </c>
      <c r="S8" s="12" t="n">
        <f aca="false">IF(H8=0,0,O8/(H8/(1+Supuestos!$B$26)))</f>
        <v>0.318993</v>
      </c>
    </row>
    <row r="9" customFormat="false" ht="15" hidden="false" customHeight="false" outlineLevel="0" collapsed="false">
      <c r="A9" s="4" t="s">
        <v>102</v>
      </c>
      <c r="B9" s="4" t="s">
        <v>109</v>
      </c>
      <c r="C9" s="28" t="n">
        <f aca="false">Costeo!C5</f>
        <v>6</v>
      </c>
      <c r="D9" s="8" t="n">
        <f aca="false">Mensual!$N$6</f>
        <v>5640</v>
      </c>
      <c r="E9" s="7" t="n">
        <f aca="false">Supuestos!C47</f>
        <v>0.3</v>
      </c>
      <c r="F9" s="15" t="n">
        <f aca="false">D9*E9</f>
        <v>1692</v>
      </c>
      <c r="G9" s="15" t="n">
        <f aca="false">IF(C9=0,0,F9/C9)</f>
        <v>282</v>
      </c>
      <c r="H9" s="6" t="n">
        <f aca="false">Supuestos!C40</f>
        <v>26</v>
      </c>
      <c r="I9" s="29" t="n">
        <f aca="false">G9*H9</f>
        <v>7332</v>
      </c>
      <c r="J9" s="29" t="n">
        <f aca="false">I9/(1+Supuestos!$B$26)</f>
        <v>6213.5593220339</v>
      </c>
      <c r="K9" s="6" t="n">
        <f aca="false">Costeo!C15</f>
        <v>9.897</v>
      </c>
      <c r="L9" s="6" t="n">
        <f aca="false">Costeo!D15</f>
        <v>9.393</v>
      </c>
      <c r="M9" s="13" t="n">
        <f aca="false">IF(H9=0,0,C9*Supuestos!$B$33+H9*Supuestos!$B$27*Supuestos!$C$33+H9/(1+Supuestos!$B$26)*Supuestos!$B$28)</f>
        <v>7.00033898305085</v>
      </c>
      <c r="N9" s="13" t="n">
        <f aca="false">IF(H9=0,0,H9/(1+Supuestos!$B$26)-K9-M9)</f>
        <v>5.1365593220339</v>
      </c>
      <c r="O9" s="13" t="n">
        <f aca="false">IF(H9=0,0,H9/(1+Supuestos!$B$26)-L9-M9)</f>
        <v>5.6405593220339</v>
      </c>
      <c r="P9" s="29" t="n">
        <f aca="false">G9*N9</f>
        <v>1448.50972881356</v>
      </c>
      <c r="Q9" s="29" t="n">
        <f aca="false">G9*O9</f>
        <v>1590.63772881356</v>
      </c>
      <c r="R9" s="12" t="n">
        <f aca="false">IF(H9=0,0,N9/(H9/(1+Supuestos!$B$26)))</f>
        <v>0.233120769230769</v>
      </c>
      <c r="S9" s="12" t="n">
        <f aca="false">IF(H9=0,0,O9/(H9/(1+Supuestos!$B$26)))</f>
        <v>0.255994615384615</v>
      </c>
    </row>
    <row r="10" customFormat="false" ht="15" hidden="false" customHeight="false" outlineLevel="0" collapsed="false">
      <c r="A10" s="4" t="s">
        <v>102</v>
      </c>
      <c r="B10" s="4" t="s">
        <v>30</v>
      </c>
      <c r="C10" s="28" t="n">
        <f aca="false">Costeo!E5</f>
        <v>12</v>
      </c>
      <c r="D10" s="8" t="n">
        <f aca="false">Mensual!$N$6</f>
        <v>5640</v>
      </c>
      <c r="E10" s="7" t="n">
        <f aca="false">Supuestos!D47</f>
        <v>0</v>
      </c>
      <c r="F10" s="15" t="n">
        <f aca="false">D10*E10</f>
        <v>0</v>
      </c>
      <c r="G10" s="15" t="n">
        <f aca="false">IF(C10=0,0,F10/C10)</f>
        <v>0</v>
      </c>
      <c r="H10" s="6" t="n">
        <f aca="false">Supuestos!D40</f>
        <v>48</v>
      </c>
      <c r="I10" s="29" t="n">
        <f aca="false">G10*H10</f>
        <v>0</v>
      </c>
      <c r="J10" s="29" t="n">
        <f aca="false">I10/(1+Supuestos!$B$26)</f>
        <v>0</v>
      </c>
      <c r="K10" s="6" t="n">
        <f aca="false">Costeo!E15</f>
        <v>18.66</v>
      </c>
      <c r="L10" s="6" t="n">
        <f aca="false">Costeo!E15</f>
        <v>18.66</v>
      </c>
      <c r="M10" s="13" t="n">
        <f aca="false">IF(H10=0,0,C10*Supuestos!$B$33+H10*Supuestos!$B$27*Supuestos!$C$33+H10/(1+Supuestos!$B$26)*Supuestos!$B$28)</f>
        <v>13.846779661017</v>
      </c>
      <c r="N10" s="13" t="n">
        <f aca="false">IF(H10=0,0,H10/(1+Supuestos!$B$26)-K10-M10)</f>
        <v>8.17118644067798</v>
      </c>
      <c r="O10" s="13" t="n">
        <f aca="false">IF(H10=0,0,H10/(1+Supuestos!$B$26)-L10-M10)</f>
        <v>8.17118644067798</v>
      </c>
      <c r="P10" s="29" t="n">
        <f aca="false">G10*N10</f>
        <v>0</v>
      </c>
      <c r="Q10" s="29" t="n">
        <f aca="false">G10*O10</f>
        <v>0</v>
      </c>
      <c r="R10" s="12" t="n">
        <f aca="false">IF(H10=0,0,N10/(H10/(1+Supuestos!$B$26)))</f>
        <v>0.200875</v>
      </c>
      <c r="S10" s="12" t="n">
        <f aca="false">IF(H10=0,0,O10/(H10/(1+Supuestos!$B$26)))</f>
        <v>0.200875</v>
      </c>
    </row>
    <row r="11" customFormat="false" ht="15" hidden="false" customHeight="false" outlineLevel="0" collapsed="false">
      <c r="A11" s="4" t="s">
        <v>104</v>
      </c>
      <c r="B11" s="4" t="s">
        <v>27</v>
      </c>
      <c r="C11" s="28" t="n">
        <f aca="false">Costeo!B5</f>
        <v>1</v>
      </c>
      <c r="D11" s="8" t="n">
        <f aca="false">Mensual!$N$7</f>
        <v>7245</v>
      </c>
      <c r="E11" s="7" t="n">
        <f aca="false">Supuestos!B48</f>
        <v>1</v>
      </c>
      <c r="F11" s="15" t="n">
        <f aca="false">D11*E11</f>
        <v>7245</v>
      </c>
      <c r="G11" s="15" t="n">
        <f aca="false">IF(C11=0,0,F11/C11)</f>
        <v>7245</v>
      </c>
      <c r="H11" s="6" t="n">
        <f aca="false">Supuestos!B41</f>
        <v>3</v>
      </c>
      <c r="I11" s="29" t="n">
        <f aca="false">G11*H11</f>
        <v>21735</v>
      </c>
      <c r="J11" s="29" t="n">
        <f aca="false">I11/(1+Supuestos!$B$26)</f>
        <v>18419.4915254237</v>
      </c>
      <c r="K11" s="6" t="n">
        <f aca="false">Costeo!B15</f>
        <v>1.69325</v>
      </c>
      <c r="L11" s="6" t="n">
        <f aca="false">Costeo!B15</f>
        <v>1.69325</v>
      </c>
      <c r="M11" s="13" t="n">
        <f aca="false">IF(H11=0,0,C11*Supuestos!$B$34+H11*Supuestos!$B$27*Supuestos!$C$34+H11/(1+Supuestos!$B$26)*Supuestos!$B$28)</f>
        <v>0.125423728813559</v>
      </c>
      <c r="N11" s="13" t="n">
        <f aca="false">IF(H11=0,0,H11/(1+Supuestos!$B$26)-K11-M11)</f>
        <v>0.723699152542373</v>
      </c>
      <c r="O11" s="13" t="n">
        <f aca="false">IF(H11=0,0,H11/(1+Supuestos!$B$26)-L11-M11)</f>
        <v>0.723699152542373</v>
      </c>
      <c r="P11" s="29" t="n">
        <f aca="false">G11*N11</f>
        <v>5243.20036016949</v>
      </c>
      <c r="Q11" s="29" t="n">
        <f aca="false">G11*O11</f>
        <v>5243.20036016949</v>
      </c>
      <c r="R11" s="12" t="n">
        <f aca="false">IF(H11=0,0,N11/(H11/(1+Supuestos!$B$26)))</f>
        <v>0.284655</v>
      </c>
      <c r="S11" s="12" t="n">
        <f aca="false">IF(H11=0,0,O11/(H11/(1+Supuestos!$B$26)))</f>
        <v>0.284655</v>
      </c>
    </row>
    <row r="12" customFormat="false" ht="15" hidden="false" customHeight="false" outlineLevel="0" collapsed="false">
      <c r="A12" s="4" t="s">
        <v>104</v>
      </c>
      <c r="B12" s="4" t="s">
        <v>109</v>
      </c>
      <c r="C12" s="28" t="n">
        <f aca="false">Costeo!C5</f>
        <v>6</v>
      </c>
      <c r="D12" s="8" t="n">
        <f aca="false">Mensual!$N$7</f>
        <v>7245</v>
      </c>
      <c r="E12" s="7" t="n">
        <f aca="false">Supuestos!C48</f>
        <v>0</v>
      </c>
      <c r="F12" s="15" t="n">
        <f aca="false">D12*E12</f>
        <v>0</v>
      </c>
      <c r="G12" s="15" t="n">
        <f aca="false">IF(C12=0,0,F12/C12)</f>
        <v>0</v>
      </c>
      <c r="H12" s="6" t="n">
        <f aca="false">Supuestos!C41</f>
        <v>0</v>
      </c>
      <c r="I12" s="29" t="n">
        <f aca="false">G12*H12</f>
        <v>0</v>
      </c>
      <c r="J12" s="29" t="n">
        <f aca="false">I12/(1+Supuestos!$B$26)</f>
        <v>0</v>
      </c>
      <c r="K12" s="6" t="n">
        <f aca="false">Costeo!C15</f>
        <v>9.897</v>
      </c>
      <c r="L12" s="6" t="n">
        <f aca="false">Costeo!D15</f>
        <v>9.393</v>
      </c>
      <c r="M12" s="13" t="n">
        <f aca="false">IF(H12=0,0,C12*Supuestos!$B$34+H12*Supuestos!$B$27*Supuestos!$C$34+H12/(1+Supuestos!$B$26)*Supuestos!$B$28)</f>
        <v>0</v>
      </c>
      <c r="N12" s="13" t="n">
        <f aca="false">IF(H12=0,0,H12/(1+Supuestos!$B$26)-K12-M12)</f>
        <v>0</v>
      </c>
      <c r="O12" s="13" t="n">
        <f aca="false">IF(H12=0,0,H12/(1+Supuestos!$B$26)-L12-M12)</f>
        <v>0</v>
      </c>
      <c r="P12" s="29" t="n">
        <f aca="false">G12*N12</f>
        <v>0</v>
      </c>
      <c r="Q12" s="29" t="n">
        <f aca="false">G12*O12</f>
        <v>0</v>
      </c>
      <c r="R12" s="12" t="n">
        <f aca="false">IF(H12=0,0,N12/(H12/(1+Supuestos!$B$26)))</f>
        <v>0</v>
      </c>
      <c r="S12" s="12" t="n">
        <f aca="false">IF(H12=0,0,O12/(H12/(1+Supuestos!$B$26)))</f>
        <v>0</v>
      </c>
    </row>
    <row r="13" customFormat="false" ht="15" hidden="false" customHeight="false" outlineLevel="0" collapsed="false">
      <c r="A13" s="4" t="s">
        <v>104</v>
      </c>
      <c r="B13" s="4" t="s">
        <v>30</v>
      </c>
      <c r="C13" s="28" t="n">
        <f aca="false">Costeo!E5</f>
        <v>12</v>
      </c>
      <c r="D13" s="8" t="n">
        <f aca="false">Mensual!$N$7</f>
        <v>7245</v>
      </c>
      <c r="E13" s="7" t="n">
        <f aca="false">Supuestos!D48</f>
        <v>0</v>
      </c>
      <c r="F13" s="15" t="n">
        <f aca="false">D13*E13</f>
        <v>0</v>
      </c>
      <c r="G13" s="15" t="n">
        <f aca="false">IF(C13=0,0,F13/C13)</f>
        <v>0</v>
      </c>
      <c r="H13" s="6" t="n">
        <f aca="false">Supuestos!D41</f>
        <v>0</v>
      </c>
      <c r="I13" s="29" t="n">
        <f aca="false">G13*H13</f>
        <v>0</v>
      </c>
      <c r="J13" s="29" t="n">
        <f aca="false">I13/(1+Supuestos!$B$26)</f>
        <v>0</v>
      </c>
      <c r="K13" s="6" t="n">
        <f aca="false">Costeo!E15</f>
        <v>18.66</v>
      </c>
      <c r="L13" s="6" t="n">
        <f aca="false">Costeo!E15</f>
        <v>18.66</v>
      </c>
      <c r="M13" s="13" t="n">
        <f aca="false">IF(H13=0,0,C13*Supuestos!$B$34+H13*Supuestos!$B$27*Supuestos!$C$34+H13/(1+Supuestos!$B$26)*Supuestos!$B$28)</f>
        <v>0</v>
      </c>
      <c r="N13" s="13" t="n">
        <f aca="false">IF(H13=0,0,H13/(1+Supuestos!$B$26)-K13-M13)</f>
        <v>0</v>
      </c>
      <c r="O13" s="13" t="n">
        <f aca="false">IF(H13=0,0,H13/(1+Supuestos!$B$26)-L13-M13)</f>
        <v>0</v>
      </c>
      <c r="P13" s="29" t="n">
        <f aca="false">G13*N13</f>
        <v>0</v>
      </c>
      <c r="Q13" s="29" t="n">
        <f aca="false">G13*O13</f>
        <v>0</v>
      </c>
      <c r="R13" s="12" t="n">
        <f aca="false">IF(H13=0,0,N13/(H13/(1+Supuestos!$B$26)))</f>
        <v>0</v>
      </c>
      <c r="S13" s="12" t="n">
        <f aca="false">IF(H13=0,0,O13/(H13/(1+Supuestos!$B$26)))</f>
        <v>0</v>
      </c>
    </row>
    <row r="14" customFormat="false" ht="15" hidden="false" customHeight="false" outlineLevel="0" collapsed="false">
      <c r="A14" s="4" t="s">
        <v>106</v>
      </c>
      <c r="B14" s="4" t="s">
        <v>27</v>
      </c>
      <c r="C14" s="28" t="n">
        <f aca="false">Costeo!B5</f>
        <v>1</v>
      </c>
      <c r="D14" s="8" t="n">
        <f aca="false">Mensual!$N$8</f>
        <v>3132</v>
      </c>
      <c r="E14" s="7" t="n">
        <f aca="false">Supuestos!B49</f>
        <v>0</v>
      </c>
      <c r="F14" s="15" t="n">
        <f aca="false">D14*E14</f>
        <v>0</v>
      </c>
      <c r="G14" s="15" t="n">
        <f aca="false">IF(C14=0,0,F14/C14)</f>
        <v>0</v>
      </c>
      <c r="H14" s="6" t="n">
        <f aca="false">Supuestos!B42</f>
        <v>0</v>
      </c>
      <c r="I14" s="29" t="n">
        <f aca="false">G14*H14</f>
        <v>0</v>
      </c>
      <c r="J14" s="29" t="n">
        <f aca="false">I14/(1+Supuestos!$B$26)</f>
        <v>0</v>
      </c>
      <c r="K14" s="6" t="n">
        <f aca="false">Costeo!B15</f>
        <v>1.69325</v>
      </c>
      <c r="L14" s="6" t="n">
        <f aca="false">Costeo!B15</f>
        <v>1.69325</v>
      </c>
      <c r="M14" s="13" t="n">
        <f aca="false">IF(H14=0,0,C14*Supuestos!$B$35+H14*Supuestos!$B$27*Supuestos!$C$35+H14/(1+Supuestos!$B$26)*Supuestos!$B$28)</f>
        <v>0</v>
      </c>
      <c r="N14" s="13" t="n">
        <f aca="false">IF(H14=0,0,H14/(1+Supuestos!$B$26)-K14-M14)</f>
        <v>0</v>
      </c>
      <c r="O14" s="13" t="n">
        <f aca="false">IF(H14=0,0,H14/(1+Supuestos!$B$26)-L14-M14)</f>
        <v>0</v>
      </c>
      <c r="P14" s="29" t="n">
        <f aca="false">G14*N14</f>
        <v>0</v>
      </c>
      <c r="Q14" s="29" t="n">
        <f aca="false">G14*O14</f>
        <v>0</v>
      </c>
      <c r="R14" s="12" t="n">
        <f aca="false">IF(H14=0,0,N14/(H14/(1+Supuestos!$B$26)))</f>
        <v>0</v>
      </c>
      <c r="S14" s="12" t="n">
        <f aca="false">IF(H14=0,0,O14/(H14/(1+Supuestos!$B$26)))</f>
        <v>0</v>
      </c>
    </row>
    <row r="15" customFormat="false" ht="15" hidden="false" customHeight="false" outlineLevel="0" collapsed="false">
      <c r="A15" s="4" t="s">
        <v>106</v>
      </c>
      <c r="B15" s="4" t="s">
        <v>109</v>
      </c>
      <c r="C15" s="28" t="n">
        <f aca="false">Costeo!C5</f>
        <v>6</v>
      </c>
      <c r="D15" s="8" t="n">
        <f aca="false">Mensual!$N$8</f>
        <v>3132</v>
      </c>
      <c r="E15" s="7" t="n">
        <f aca="false">Supuestos!C49</f>
        <v>1</v>
      </c>
      <c r="F15" s="15" t="n">
        <f aca="false">D15*E15</f>
        <v>3132</v>
      </c>
      <c r="G15" s="15" t="n">
        <f aca="false">IF(C15=0,0,F15/C15)</f>
        <v>522</v>
      </c>
      <c r="H15" s="6" t="n">
        <f aca="false">Supuestos!C42</f>
        <v>17.34</v>
      </c>
      <c r="I15" s="29" t="n">
        <f aca="false">G15*H15</f>
        <v>9051.48</v>
      </c>
      <c r="J15" s="29" t="n">
        <f aca="false">I15/(1+Supuestos!$B$26)</f>
        <v>7670.74576271187</v>
      </c>
      <c r="K15" s="6" t="n">
        <f aca="false">Costeo!C15</f>
        <v>9.897</v>
      </c>
      <c r="L15" s="6" t="n">
        <f aca="false">Costeo!D15</f>
        <v>9.393</v>
      </c>
      <c r="M15" s="13" t="n">
        <f aca="false">IF(H15=0,0,C15*Supuestos!$B$35+H15*Supuestos!$B$27*Supuestos!$C$35+H15/(1+Supuestos!$B$26)*Supuestos!$B$28)</f>
        <v>1.04694915254237</v>
      </c>
      <c r="N15" s="13" t="n">
        <f aca="false">IF(H15=0,0,H15/(1+Supuestos!$B$26)-K15-M15)</f>
        <v>3.75096610169492</v>
      </c>
      <c r="O15" s="13" t="n">
        <f aca="false">IF(H15=0,0,H15/(1+Supuestos!$B$26)-L15-M15)</f>
        <v>4.25496610169492</v>
      </c>
      <c r="P15" s="29" t="n">
        <f aca="false">G15*N15</f>
        <v>1958.00430508475</v>
      </c>
      <c r="Q15" s="29" t="n">
        <f aca="false">G15*O15</f>
        <v>2221.09230508475</v>
      </c>
      <c r="R15" s="12" t="n">
        <f aca="false">IF(H15=0,0,N15/(H15/(1+Supuestos!$B$26)))</f>
        <v>0.255256055363322</v>
      </c>
      <c r="S15" s="12" t="n">
        <f aca="false">IF(H15=0,0,O15/(H15/(1+Supuestos!$B$26)))</f>
        <v>0.289553633217993</v>
      </c>
    </row>
    <row r="16" customFormat="false" ht="15" hidden="false" customHeight="false" outlineLevel="0" collapsed="false">
      <c r="A16" s="4" t="s">
        <v>106</v>
      </c>
      <c r="B16" s="4" t="s">
        <v>30</v>
      </c>
      <c r="C16" s="28" t="n">
        <f aca="false">Costeo!E5</f>
        <v>12</v>
      </c>
      <c r="D16" s="8" t="n">
        <f aca="false">Mensual!$N$8</f>
        <v>3132</v>
      </c>
      <c r="E16" s="7" t="n">
        <f aca="false">Supuestos!D49</f>
        <v>0</v>
      </c>
      <c r="F16" s="15" t="n">
        <f aca="false">D16*E16</f>
        <v>0</v>
      </c>
      <c r="G16" s="15" t="n">
        <f aca="false">IF(C16=0,0,F16/C16)</f>
        <v>0</v>
      </c>
      <c r="H16" s="6" t="n">
        <f aca="false">Supuestos!D42</f>
        <v>0</v>
      </c>
      <c r="I16" s="29" t="n">
        <f aca="false">G16*H16</f>
        <v>0</v>
      </c>
      <c r="J16" s="29" t="n">
        <f aca="false">I16/(1+Supuestos!$B$26)</f>
        <v>0</v>
      </c>
      <c r="K16" s="6" t="n">
        <f aca="false">Costeo!E15</f>
        <v>18.66</v>
      </c>
      <c r="L16" s="6" t="n">
        <f aca="false">Costeo!E15</f>
        <v>18.66</v>
      </c>
      <c r="M16" s="13" t="n">
        <f aca="false">IF(H16=0,0,C16*Supuestos!$B$35+H16*Supuestos!$B$27*Supuestos!$C$35+H16/(1+Supuestos!$B$26)*Supuestos!$B$28)</f>
        <v>0</v>
      </c>
      <c r="N16" s="13" t="n">
        <f aca="false">IF(H16=0,0,H16/(1+Supuestos!$B$26)-K16-M16)</f>
        <v>0</v>
      </c>
      <c r="O16" s="13" t="n">
        <f aca="false">IF(H16=0,0,H16/(1+Supuestos!$B$26)-L16-M16)</f>
        <v>0</v>
      </c>
      <c r="P16" s="29" t="n">
        <f aca="false">G16*N16</f>
        <v>0</v>
      </c>
      <c r="Q16" s="29" t="n">
        <f aca="false">G16*O16</f>
        <v>0</v>
      </c>
      <c r="R16" s="12" t="n">
        <f aca="false">IF(H16=0,0,N16/(H16/(1+Supuestos!$B$26)))</f>
        <v>0</v>
      </c>
      <c r="S16" s="12" t="n">
        <f aca="false">IF(H16=0,0,O16/(H16/(1+Supuestos!$B$26)))</f>
        <v>0</v>
      </c>
    </row>
    <row r="17" customFormat="false" ht="15" hidden="false" customHeight="false" outlineLevel="0" collapsed="false">
      <c r="A17" s="10" t="s">
        <v>175</v>
      </c>
      <c r="F17" s="30" t="n">
        <f aca="false">SUM(F5:F16)</f>
        <v>76335</v>
      </c>
      <c r="I17" s="11" t="n">
        <f aca="false">SUM(I5:I16)</f>
        <v>302900.355</v>
      </c>
      <c r="J17" s="11" t="n">
        <f aca="false">SUM(J5:J16)</f>
        <v>256695.216101695</v>
      </c>
      <c r="P17" s="11" t="n">
        <f aca="false">SUM(P5:P16)</f>
        <v>65917.995490678</v>
      </c>
      <c r="Q17" s="11" t="n">
        <f aca="false">SUM(Q5:Q16)</f>
        <v>69363.238690678</v>
      </c>
    </row>
    <row r="20" customFormat="false" ht="15" hidden="false" customHeight="false" outlineLevel="0" collapsed="false">
      <c r="A20" s="16" t="s">
        <v>176</v>
      </c>
      <c r="B20" s="17"/>
      <c r="C20" s="17"/>
      <c r="D20" s="17"/>
      <c r="E20" s="17"/>
      <c r="F20" s="17"/>
      <c r="G20" s="17"/>
      <c r="H20" s="17"/>
    </row>
    <row r="21" customFormat="false" ht="42" hidden="false" customHeight="true" outlineLevel="0" collapsed="false">
      <c r="A21" s="5" t="s">
        <v>96</v>
      </c>
      <c r="B21" s="5" t="s">
        <v>177</v>
      </c>
      <c r="C21" s="5" t="s">
        <v>178</v>
      </c>
      <c r="D21" s="5" t="s">
        <v>179</v>
      </c>
      <c r="E21" s="5" t="s">
        <v>164</v>
      </c>
      <c r="F21" s="5" t="s">
        <v>180</v>
      </c>
      <c r="G21" s="5" t="s">
        <v>181</v>
      </c>
      <c r="H21" s="5" t="s">
        <v>182</v>
      </c>
    </row>
    <row r="22" customFormat="false" ht="15" hidden="false" customHeight="false" outlineLevel="0" collapsed="false">
      <c r="A22" s="4" t="s">
        <v>100</v>
      </c>
      <c r="B22" s="15" t="n">
        <f aca="false">SUMIF($A$5:$A$16,A22,$F$5:$F$16)</f>
        <v>60318</v>
      </c>
      <c r="C22" s="29" t="n">
        <f aca="false">SUMIF($A$5:$A$16,A22,$P$5:$P$16)</f>
        <v>51931.9066728814</v>
      </c>
      <c r="D22" s="29" t="n">
        <f aca="false">SUMIF($A$5:$A$16,A22,$Q$5:$Q$16)</f>
        <v>54971.9338728814</v>
      </c>
      <c r="E22" s="29" t="n">
        <f aca="false">SUMIF($A$5:$A$16,A22,$I$5:$I$16)</f>
        <v>245041.875</v>
      </c>
      <c r="F22" s="13" t="n">
        <f aca="false">IF(B22=0,0,C22/B22)</f>
        <v>0.860968644067797</v>
      </c>
      <c r="G22" s="13" t="n">
        <f aca="false">IF(B22=0,0,D22/B22)</f>
        <v>0.911368644067797</v>
      </c>
      <c r="H22" s="13" t="n">
        <f aca="false">IF(B22=0,0,E22/B22)</f>
        <v>4.0625</v>
      </c>
    </row>
    <row r="23" customFormat="false" ht="15" hidden="false" customHeight="false" outlineLevel="0" collapsed="false">
      <c r="A23" s="4" t="s">
        <v>102</v>
      </c>
      <c r="B23" s="15" t="n">
        <f aca="false">SUMIF($A$5:$A$16,A23,$F$5:$F$16)</f>
        <v>5640</v>
      </c>
      <c r="C23" s="29" t="n">
        <f aca="false">SUMIF($A$5:$A$16,A23,$P$5:$P$16)</f>
        <v>6784.88415254237</v>
      </c>
      <c r="D23" s="29" t="n">
        <f aca="false">SUMIF($A$5:$A$16,A23,$Q$5:$Q$16)</f>
        <v>6927.01215254237</v>
      </c>
      <c r="E23" s="29" t="n">
        <f aca="false">SUMIF($A$5:$A$16,A23,$I$5:$I$16)</f>
        <v>27072</v>
      </c>
      <c r="F23" s="13" t="n">
        <f aca="false">IF(B23=0,0,C23/B23)</f>
        <v>1.2029936440678</v>
      </c>
      <c r="G23" s="13" t="n">
        <f aca="false">IF(B23=0,0,D23/B23)</f>
        <v>1.2281936440678</v>
      </c>
      <c r="H23" s="13" t="n">
        <f aca="false">IF(B23=0,0,E23/B23)</f>
        <v>4.8</v>
      </c>
    </row>
    <row r="24" customFormat="false" ht="15" hidden="false" customHeight="false" outlineLevel="0" collapsed="false">
      <c r="A24" s="4" t="s">
        <v>104</v>
      </c>
      <c r="B24" s="15" t="n">
        <f aca="false">SUMIF($A$5:$A$16,A24,$F$5:$F$16)</f>
        <v>7245</v>
      </c>
      <c r="C24" s="29" t="n">
        <f aca="false">SUMIF($A$5:$A$16,A24,$P$5:$P$16)</f>
        <v>5243.20036016949</v>
      </c>
      <c r="D24" s="29" t="n">
        <f aca="false">SUMIF($A$5:$A$16,A24,$Q$5:$Q$16)</f>
        <v>5243.20036016949</v>
      </c>
      <c r="E24" s="29" t="n">
        <f aca="false">SUMIF($A$5:$A$16,A24,$I$5:$I$16)</f>
        <v>21735</v>
      </c>
      <c r="F24" s="13" t="n">
        <f aca="false">IF(B24=0,0,C24/B24)</f>
        <v>0.723699152542373</v>
      </c>
      <c r="G24" s="13" t="n">
        <f aca="false">IF(B24=0,0,D24/B24)</f>
        <v>0.723699152542373</v>
      </c>
      <c r="H24" s="13" t="n">
        <f aca="false">IF(B24=0,0,E24/B24)</f>
        <v>3</v>
      </c>
    </row>
    <row r="25" customFormat="false" ht="15" hidden="false" customHeight="false" outlineLevel="0" collapsed="false">
      <c r="A25" s="4" t="s">
        <v>106</v>
      </c>
      <c r="B25" s="15" t="n">
        <f aca="false">SUMIF($A$5:$A$16,A25,$F$5:$F$16)</f>
        <v>3132</v>
      </c>
      <c r="C25" s="29" t="n">
        <f aca="false">SUMIF($A$5:$A$16,A25,$P$5:$P$16)</f>
        <v>1958.00430508475</v>
      </c>
      <c r="D25" s="29" t="n">
        <f aca="false">SUMIF($A$5:$A$16,A25,$Q$5:$Q$16)</f>
        <v>2221.09230508475</v>
      </c>
      <c r="E25" s="29" t="n">
        <f aca="false">SUMIF($A$5:$A$16,A25,$I$5:$I$16)</f>
        <v>9051.48</v>
      </c>
      <c r="F25" s="13" t="n">
        <f aca="false">IF(B25=0,0,C25/B25)</f>
        <v>0.625161016949153</v>
      </c>
      <c r="G25" s="13" t="n">
        <f aca="false">IF(B25=0,0,D25/B25)</f>
        <v>0.709161016949153</v>
      </c>
      <c r="H25" s="13" t="n">
        <f aca="false">IF(B25=0,0,E25/B25)</f>
        <v>2.89</v>
      </c>
    </row>
    <row r="26" customFormat="false" ht="15" hidden="false" customHeight="false" outlineLevel="0" collapsed="false">
      <c r="A26" s="10" t="s">
        <v>175</v>
      </c>
      <c r="B26" s="30" t="n">
        <f aca="false">SUM(B22:B25)</f>
        <v>76335</v>
      </c>
      <c r="C26" s="11" t="n">
        <f aca="false">SUM(C22:C25)</f>
        <v>65917.995490678</v>
      </c>
      <c r="D26" s="11" t="n">
        <f aca="false">SUM(D22:D25)</f>
        <v>69363.238690678</v>
      </c>
      <c r="E26" s="11" t="n">
        <f aca="false">SUM(E22:E25)</f>
        <v>302900.355</v>
      </c>
      <c r="F26" s="27" t="n">
        <f aca="false">IF(B26=0,0,C26/B26)</f>
        <v>0.863535671588105</v>
      </c>
      <c r="G26" s="27" t="n">
        <f aca="false">IF(B26=0,0,D26/B26)</f>
        <v>0.908668876539962</v>
      </c>
      <c r="H26" s="27" t="n">
        <f aca="false">IF(B26=0,0,E26/B26)</f>
        <v>3.96804028296325</v>
      </c>
    </row>
    <row r="28" customFormat="false" ht="15" hidden="false" customHeight="false" outlineLevel="0" collapsed="false">
      <c r="A28" s="16" t="s">
        <v>183</v>
      </c>
      <c r="B28" s="17"/>
      <c r="C28" s="17"/>
      <c r="D28" s="17"/>
      <c r="E28" s="17"/>
      <c r="F28" s="17"/>
      <c r="G28" s="17"/>
      <c r="H28" s="17"/>
    </row>
    <row r="29" customFormat="false" ht="30" hidden="false" customHeight="true" outlineLevel="0" collapsed="false">
      <c r="A29" s="5" t="s">
        <v>22</v>
      </c>
      <c r="B29" s="5" t="s">
        <v>177</v>
      </c>
      <c r="C29" s="5" t="s">
        <v>162</v>
      </c>
      <c r="D29" s="5" t="s">
        <v>164</v>
      </c>
      <c r="E29" s="5" t="s">
        <v>178</v>
      </c>
      <c r="F29" s="5" t="s">
        <v>179</v>
      </c>
      <c r="G29" s="5" t="s">
        <v>129</v>
      </c>
      <c r="H29" s="5"/>
    </row>
    <row r="30" customFormat="false" ht="15" hidden="false" customHeight="false" outlineLevel="0" collapsed="false">
      <c r="A30" s="4" t="s">
        <v>27</v>
      </c>
      <c r="B30" s="15" t="n">
        <f aca="false">SUMIF($B$5:$B$16,A30,$F$5:$F$16)</f>
        <v>17224.8</v>
      </c>
      <c r="C30" s="15" t="n">
        <f aca="false">SUMIF($B$5:$B$16,A30,$G$5:$G$16)</f>
        <v>17224.8</v>
      </c>
      <c r="D30" s="29" t="n">
        <f aca="false">SUMIF($B$5:$B$16,A30,$I$5:$I$16)</f>
        <v>65602.2</v>
      </c>
      <c r="E30" s="29" t="n">
        <f aca="false">SUMIF($B$5:$B$16,A30,$P$5:$P$16)</f>
        <v>15059.2852983051</v>
      </c>
      <c r="F30" s="29" t="n">
        <f aca="false">SUMIF($B$5:$B$16,A30,$Q$5:$Q$16)</f>
        <v>15059.2852983051</v>
      </c>
      <c r="G30" s="12" t="n">
        <f aca="false">IF($F$17=0,0,B30/$F$17)</f>
        <v>0.225647474945962</v>
      </c>
    </row>
    <row r="31" customFormat="false" ht="15" hidden="false" customHeight="false" outlineLevel="0" collapsed="false">
      <c r="A31" s="4" t="s">
        <v>109</v>
      </c>
      <c r="B31" s="15" t="n">
        <f aca="false">SUMIF($B$5:$B$16,A31,$F$5:$F$16)</f>
        <v>41014.8</v>
      </c>
      <c r="C31" s="15" t="n">
        <f aca="false">SUMIF($B$5:$B$16,A31,$G$5:$G$16)</f>
        <v>6835.8</v>
      </c>
      <c r="D31" s="29" t="n">
        <f aca="false">SUMIF($B$5:$B$16,A31,$I$5:$I$16)</f>
        <v>166575.3</v>
      </c>
      <c r="E31" s="29" t="n">
        <f aca="false">SUMIF($B$5:$B$16,A31,$P$5:$P$16)</f>
        <v>36259.7861898305</v>
      </c>
      <c r="F31" s="29" t="n">
        <f aca="false">SUMIF($B$5:$B$16,A31,$Q$5:$Q$16)</f>
        <v>39705.0293898305</v>
      </c>
      <c r="G31" s="12" t="n">
        <f aca="false">IF($F$17=0,0,B31/$F$17)</f>
        <v>0.537300058950678</v>
      </c>
    </row>
    <row r="32" customFormat="false" ht="15" hidden="false" customHeight="false" outlineLevel="0" collapsed="false">
      <c r="A32" s="4" t="s">
        <v>30</v>
      </c>
      <c r="B32" s="15" t="n">
        <f aca="false">SUMIF($B$5:$B$16,A32,$F$5:$F$16)</f>
        <v>18095.4</v>
      </c>
      <c r="C32" s="15" t="n">
        <f aca="false">SUMIF($B$5:$B$16,A32,$G$5:$G$16)</f>
        <v>1507.95</v>
      </c>
      <c r="D32" s="29" t="n">
        <f aca="false">SUMIF($B$5:$B$16,A32,$I$5:$I$16)</f>
        <v>70722.855</v>
      </c>
      <c r="E32" s="29" t="n">
        <f aca="false">SUMIF($B$5:$B$16,A32,$P$5:$P$16)</f>
        <v>14598.9240025424</v>
      </c>
      <c r="F32" s="29" t="n">
        <f aca="false">SUMIF($B$5:$B$16,A32,$Q$5:$Q$16)</f>
        <v>14598.9240025424</v>
      </c>
      <c r="G32" s="12" t="n">
        <f aca="false">IF($F$17=0,0,B32/$F$17)</f>
        <v>0.23705246610336</v>
      </c>
    </row>
    <row r="34" customFormat="false" ht="15" hidden="false" customHeight="false" outlineLevel="0" collapsed="false">
      <c r="A34" s="16" t="s">
        <v>184</v>
      </c>
      <c r="B34" s="17"/>
      <c r="C34" s="17"/>
      <c r="D34" s="17"/>
      <c r="E34" s="17"/>
      <c r="F34" s="17"/>
      <c r="G34" s="17"/>
      <c r="H34" s="17"/>
    </row>
    <row r="35" customFormat="false" ht="26.85" hidden="false" customHeight="false" outlineLevel="0" collapsed="false">
      <c r="A35" s="5" t="s">
        <v>128</v>
      </c>
      <c r="B35" s="5" t="s">
        <v>129</v>
      </c>
      <c r="C35" s="5" t="s">
        <v>185</v>
      </c>
      <c r="D35" s="5"/>
      <c r="E35" s="5"/>
      <c r="F35" s="5"/>
      <c r="G35" s="5"/>
      <c r="H35" s="5"/>
    </row>
    <row r="36" customFormat="false" ht="15" hidden="false" customHeight="false" outlineLevel="0" collapsed="false">
      <c r="A36" s="31" t="str">
        <f aca="false">Supuestos!A62</f>
        <v>Chispa (choco clásico con chispas)</v>
      </c>
      <c r="B36" s="7" t="n">
        <f aca="false">Supuestos!B62</f>
        <v>0.4</v>
      </c>
      <c r="C36" s="15" t="n">
        <f aca="false">$F$17*B36</f>
        <v>30534</v>
      </c>
    </row>
    <row r="37" customFormat="false" ht="15" hidden="false" customHeight="false" outlineLevel="0" collapsed="false">
      <c r="A37" s="31" t="str">
        <f aca="false">Supuestos!A63</f>
        <v>Andi (choco, plátano, canela y cañihua)</v>
      </c>
      <c r="B37" s="7" t="n">
        <f aca="false">Supuestos!B63</f>
        <v>0.35</v>
      </c>
      <c r="C37" s="15" t="n">
        <f aca="false">$F$17*B37</f>
        <v>26717.25</v>
      </c>
    </row>
    <row r="38" customFormat="false" ht="15" hidden="false" customHeight="false" outlineLevel="0" collapsed="false">
      <c r="A38" s="31" t="str">
        <f aca="false">Supuestos!A64</f>
        <v>Lúcu (choco y lúcuma)</v>
      </c>
      <c r="B38" s="7" t="n">
        <f aca="false">Supuestos!B64</f>
        <v>0.25</v>
      </c>
      <c r="C38" s="15" t="n">
        <f aca="false">$F$17*B38</f>
        <v>19083.75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4" t="s">
        <v>187</v>
      </c>
    </row>
    <row r="4" customFormat="false" ht="15" hidden="false" customHeight="false" outlineLevel="0" collapsed="false">
      <c r="A4" s="5" t="s">
        <v>188</v>
      </c>
      <c r="B4" s="5" t="s">
        <v>189</v>
      </c>
      <c r="C4" s="5" t="s">
        <v>190</v>
      </c>
      <c r="D4" s="5" t="s">
        <v>191</v>
      </c>
      <c r="E4" s="5" t="s">
        <v>192</v>
      </c>
      <c r="F4" s="5" t="s">
        <v>193</v>
      </c>
      <c r="G4" s="5" t="s">
        <v>194</v>
      </c>
      <c r="H4" s="5" t="s">
        <v>195</v>
      </c>
      <c r="I4" s="5" t="s">
        <v>196</v>
      </c>
      <c r="J4" s="5" t="s">
        <v>197</v>
      </c>
      <c r="K4" s="5" t="s">
        <v>198</v>
      </c>
      <c r="L4" s="5" t="s">
        <v>199</v>
      </c>
      <c r="M4" s="5" t="s">
        <v>200</v>
      </c>
      <c r="N4" s="5" t="s">
        <v>201</v>
      </c>
    </row>
    <row r="5" customFormat="false" ht="15" hidden="false" customHeight="false" outlineLevel="0" collapsed="false">
      <c r="A5" s="4" t="s">
        <v>100</v>
      </c>
      <c r="B5" s="32" t="n">
        <v>2160</v>
      </c>
      <c r="C5" s="32" t="n">
        <v>3360</v>
      </c>
      <c r="D5" s="32" t="n">
        <v>4320</v>
      </c>
      <c r="E5" s="32" t="n">
        <v>5160</v>
      </c>
      <c r="F5" s="32" t="n">
        <v>4608</v>
      </c>
      <c r="G5" s="32" t="n">
        <v>5406</v>
      </c>
      <c r="H5" s="32" t="n">
        <v>6960</v>
      </c>
      <c r="I5" s="32" t="n">
        <v>7560</v>
      </c>
      <c r="J5" s="32" t="n">
        <v>8160</v>
      </c>
      <c r="K5" s="32" t="n">
        <v>5880</v>
      </c>
      <c r="L5" s="32" t="n">
        <v>2856</v>
      </c>
      <c r="M5" s="32" t="n">
        <v>3888</v>
      </c>
      <c r="N5" s="15" t="n">
        <f aca="false">SUM(B5:M5)</f>
        <v>60318</v>
      </c>
    </row>
    <row r="6" customFormat="false" ht="15" hidden="false" customHeight="false" outlineLevel="0" collapsed="false">
      <c r="A6" s="4" t="s">
        <v>102</v>
      </c>
      <c r="B6" s="32" t="n">
        <v>480</v>
      </c>
      <c r="C6" s="32" t="n">
        <v>360</v>
      </c>
      <c r="D6" s="32" t="n">
        <v>480</v>
      </c>
      <c r="E6" s="32" t="n">
        <v>360</v>
      </c>
      <c r="F6" s="32" t="n">
        <v>480</v>
      </c>
      <c r="G6" s="32" t="n">
        <v>600</v>
      </c>
      <c r="H6" s="32" t="n">
        <v>360</v>
      </c>
      <c r="I6" s="32" t="n">
        <v>360</v>
      </c>
      <c r="J6" s="32" t="n">
        <v>480</v>
      </c>
      <c r="K6" s="32" t="n">
        <v>720</v>
      </c>
      <c r="L6" s="32" t="n">
        <v>480</v>
      </c>
      <c r="M6" s="32" t="n">
        <v>480</v>
      </c>
      <c r="N6" s="15" t="n">
        <f aca="false">SUM(B6:M6)</f>
        <v>5640</v>
      </c>
    </row>
    <row r="7" customFormat="false" ht="15" hidden="false" customHeight="false" outlineLevel="0" collapsed="false">
      <c r="A7" s="4" t="s">
        <v>104</v>
      </c>
      <c r="B7" s="32" t="n">
        <v>0</v>
      </c>
      <c r="C7" s="32" t="n">
        <v>300</v>
      </c>
      <c r="D7" s="32" t="n">
        <v>300</v>
      </c>
      <c r="E7" s="32" t="n">
        <v>600</v>
      </c>
      <c r="F7" s="32" t="n">
        <v>480</v>
      </c>
      <c r="G7" s="32" t="n">
        <v>765</v>
      </c>
      <c r="H7" s="32" t="n">
        <v>1200</v>
      </c>
      <c r="I7" s="32" t="n">
        <v>1200</v>
      </c>
      <c r="J7" s="32" t="n">
        <v>1500</v>
      </c>
      <c r="K7" s="32" t="n">
        <v>900</v>
      </c>
      <c r="L7" s="32" t="n">
        <v>0</v>
      </c>
      <c r="M7" s="32" t="n">
        <v>0</v>
      </c>
      <c r="N7" s="15" t="n">
        <f aca="false">SUM(B7:M7)</f>
        <v>7245</v>
      </c>
    </row>
    <row r="8" customFormat="false" ht="15" hidden="false" customHeight="false" outlineLevel="0" collapsed="false">
      <c r="A8" s="4" t="s">
        <v>106</v>
      </c>
      <c r="B8" s="32" t="n">
        <v>0</v>
      </c>
      <c r="C8" s="32" t="n">
        <v>0</v>
      </c>
      <c r="D8" s="32" t="n">
        <v>120</v>
      </c>
      <c r="E8" s="32" t="n">
        <v>180</v>
      </c>
      <c r="F8" s="32" t="n">
        <v>240</v>
      </c>
      <c r="G8" s="32" t="n">
        <v>300</v>
      </c>
      <c r="H8" s="32" t="n">
        <v>360</v>
      </c>
      <c r="I8" s="32" t="n">
        <v>360</v>
      </c>
      <c r="J8" s="32" t="n">
        <v>420</v>
      </c>
      <c r="K8" s="32" t="n">
        <v>480</v>
      </c>
      <c r="L8" s="32" t="n">
        <v>336</v>
      </c>
      <c r="M8" s="32" t="n">
        <v>336</v>
      </c>
      <c r="N8" s="15" t="n">
        <f aca="false">SUM(B8:M8)</f>
        <v>3132</v>
      </c>
    </row>
    <row r="9" customFormat="false" ht="15" hidden="false" customHeight="false" outlineLevel="0" collapsed="false">
      <c r="A9" s="10" t="s">
        <v>202</v>
      </c>
      <c r="B9" s="30" t="n">
        <f aca="false">SUM(B5:B8)</f>
        <v>2640</v>
      </c>
      <c r="C9" s="30" t="n">
        <f aca="false">SUM(C5:C8)</f>
        <v>4020</v>
      </c>
      <c r="D9" s="30" t="n">
        <f aca="false">SUM(D5:D8)</f>
        <v>5220</v>
      </c>
      <c r="E9" s="30" t="n">
        <f aca="false">SUM(E5:E8)</f>
        <v>6300</v>
      </c>
      <c r="F9" s="30" t="n">
        <f aca="false">SUM(F5:F8)</f>
        <v>5808</v>
      </c>
      <c r="G9" s="30" t="n">
        <f aca="false">SUM(G5:G8)</f>
        <v>7071</v>
      </c>
      <c r="H9" s="30" t="n">
        <f aca="false">SUM(H5:H8)</f>
        <v>8880</v>
      </c>
      <c r="I9" s="30" t="n">
        <f aca="false">SUM(I5:I8)</f>
        <v>9480</v>
      </c>
      <c r="J9" s="30" t="n">
        <f aca="false">SUM(J5:J8)</f>
        <v>10560</v>
      </c>
      <c r="K9" s="30" t="n">
        <f aca="false">SUM(K5:K8)</f>
        <v>7980</v>
      </c>
      <c r="L9" s="30" t="n">
        <f aca="false">SUM(L5:L8)</f>
        <v>3672</v>
      </c>
      <c r="M9" s="30" t="n">
        <f aca="false">SUM(M5:M8)</f>
        <v>4704</v>
      </c>
      <c r="N9" s="30" t="n">
        <f aca="false">SUM(N5:N8)</f>
        <v>76335</v>
      </c>
    </row>
    <row r="11" customFormat="false" ht="15" hidden="false" customHeight="false" outlineLevel="0" collapsed="false">
      <c r="A11" s="16" t="s">
        <v>203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customFormat="false" ht="15" hidden="false" customHeight="false" outlineLevel="0" collapsed="false">
      <c r="A12" s="4" t="s">
        <v>204</v>
      </c>
      <c r="B12" s="8" t="n">
        <f aca="false">SUMPRODUCT(B$5:B$8,Supuestos!$B$46:$B$49)</f>
        <v>552</v>
      </c>
      <c r="C12" s="8" t="n">
        <f aca="false">SUMPRODUCT(C$5:C$8,Supuestos!$B$46:$B$49)</f>
        <v>888</v>
      </c>
      <c r="D12" s="8" t="n">
        <f aca="false">SUMPRODUCT(D$5:D$8,Supuestos!$B$46:$B$49)</f>
        <v>1068</v>
      </c>
      <c r="E12" s="8" t="n">
        <f aca="false">SUMPRODUCT(E$5:E$8,Supuestos!$B$46:$B$49)</f>
        <v>1368</v>
      </c>
      <c r="F12" s="8" t="n">
        <f aca="false">SUMPRODUCT(F$5:F$8,Supuestos!$B$46:$B$49)</f>
        <v>1276.8</v>
      </c>
      <c r="G12" s="8" t="n">
        <f aca="false">SUMPRODUCT(G$5:G$8,Supuestos!$B$46:$B$49)</f>
        <v>1725.6</v>
      </c>
      <c r="H12" s="8" t="n">
        <f aca="false">SUMPRODUCT(H$5:H$8,Supuestos!$B$46:$B$49)</f>
        <v>2148</v>
      </c>
      <c r="I12" s="8" t="n">
        <f aca="false">SUMPRODUCT(I$5:I$8,Supuestos!$B$46:$B$49)</f>
        <v>2208</v>
      </c>
      <c r="J12" s="8" t="n">
        <f aca="false">SUMPRODUCT(J$5:J$8,Supuestos!$B$46:$B$49)</f>
        <v>2652</v>
      </c>
      <c r="K12" s="8" t="n">
        <f aca="false">SUMPRODUCT(K$5:K$8,Supuestos!$B$46:$B$49)</f>
        <v>1992</v>
      </c>
      <c r="L12" s="8" t="n">
        <f aca="false">SUMPRODUCT(L$5:L$8,Supuestos!$B$46:$B$49)</f>
        <v>621.6</v>
      </c>
      <c r="M12" s="8" t="n">
        <f aca="false">SUMPRODUCT(M$5:M$8,Supuestos!$B$46:$B$49)</f>
        <v>724.8</v>
      </c>
      <c r="N12" s="15" t="n">
        <f aca="false">SUM(B12:M12)</f>
        <v>17224.8</v>
      </c>
    </row>
    <row r="13" customFormat="false" ht="15" hidden="false" customHeight="false" outlineLevel="0" collapsed="false">
      <c r="A13" s="4" t="s">
        <v>205</v>
      </c>
      <c r="B13" s="8" t="n">
        <f aca="false">SUMPRODUCT(B$5:B$8,Supuestos!$C$46:$C$49)</f>
        <v>1440</v>
      </c>
      <c r="C13" s="8" t="n">
        <f aca="false">SUMPRODUCT(C$5:C$8,Supuestos!$C$46:$C$49)</f>
        <v>2124</v>
      </c>
      <c r="D13" s="8" t="n">
        <f aca="false">SUMPRODUCT(D$5:D$8,Supuestos!$C$46:$C$49)</f>
        <v>2856</v>
      </c>
      <c r="E13" s="8" t="n">
        <f aca="false">SUMPRODUCT(E$5:E$8,Supuestos!$C$46:$C$49)</f>
        <v>3384</v>
      </c>
      <c r="F13" s="8" t="n">
        <f aca="false">SUMPRODUCT(F$5:F$8,Supuestos!$C$46:$C$49)</f>
        <v>3148.8</v>
      </c>
      <c r="G13" s="8" t="n">
        <f aca="false">SUMPRODUCT(G$5:G$8,Supuestos!$C$46:$C$49)</f>
        <v>3723.6</v>
      </c>
      <c r="H13" s="8" t="n">
        <f aca="false">SUMPRODUCT(H$5:H$8,Supuestos!$C$46:$C$49)</f>
        <v>4644</v>
      </c>
      <c r="I13" s="8" t="n">
        <f aca="false">SUMPRODUCT(I$5:I$8,Supuestos!$C$46:$C$49)</f>
        <v>5004</v>
      </c>
      <c r="J13" s="8" t="n">
        <f aca="false">SUMPRODUCT(J$5:J$8,Supuestos!$C$46:$C$49)</f>
        <v>5460</v>
      </c>
      <c r="K13" s="8" t="n">
        <f aca="false">SUMPRODUCT(K$5:K$8,Supuestos!$C$46:$C$49)</f>
        <v>4224</v>
      </c>
      <c r="L13" s="8" t="n">
        <f aca="false">SUMPRODUCT(L$5:L$8,Supuestos!$C$46:$C$49)</f>
        <v>2193.6</v>
      </c>
      <c r="M13" s="8" t="n">
        <f aca="false">SUMPRODUCT(M$5:M$8,Supuestos!$C$46:$C$49)</f>
        <v>2812.8</v>
      </c>
      <c r="N13" s="15" t="n">
        <f aca="false">SUM(B13:M13)</f>
        <v>41014.8</v>
      </c>
    </row>
    <row r="14" customFormat="false" ht="15" hidden="false" customHeight="false" outlineLevel="0" collapsed="false">
      <c r="A14" s="4" t="s">
        <v>206</v>
      </c>
      <c r="B14" s="8" t="n">
        <f aca="false">SUMPRODUCT(B$5:B$8,Supuestos!$D$46:$D$49)</f>
        <v>648</v>
      </c>
      <c r="C14" s="8" t="n">
        <f aca="false">SUMPRODUCT(C$5:C$8,Supuestos!$D$46:$D$49)</f>
        <v>1008</v>
      </c>
      <c r="D14" s="8" t="n">
        <f aca="false">SUMPRODUCT(D$5:D$8,Supuestos!$D$46:$D$49)</f>
        <v>1296</v>
      </c>
      <c r="E14" s="8" t="n">
        <f aca="false">SUMPRODUCT(E$5:E$8,Supuestos!$D$46:$D$49)</f>
        <v>1548</v>
      </c>
      <c r="F14" s="8" t="n">
        <f aca="false">SUMPRODUCT(F$5:F$8,Supuestos!$D$46:$D$49)</f>
        <v>1382.4</v>
      </c>
      <c r="G14" s="8" t="n">
        <f aca="false">SUMPRODUCT(G$5:G$8,Supuestos!$D$46:$D$49)</f>
        <v>1621.8</v>
      </c>
      <c r="H14" s="8" t="n">
        <f aca="false">SUMPRODUCT(H$5:H$8,Supuestos!$D$46:$D$49)</f>
        <v>2088</v>
      </c>
      <c r="I14" s="8" t="n">
        <f aca="false">SUMPRODUCT(I$5:I$8,Supuestos!$D$46:$D$49)</f>
        <v>2268</v>
      </c>
      <c r="J14" s="8" t="n">
        <f aca="false">SUMPRODUCT(J$5:J$8,Supuestos!$D$46:$D$49)</f>
        <v>2448</v>
      </c>
      <c r="K14" s="8" t="n">
        <f aca="false">SUMPRODUCT(K$5:K$8,Supuestos!$D$46:$D$49)</f>
        <v>1764</v>
      </c>
      <c r="L14" s="8" t="n">
        <f aca="false">SUMPRODUCT(L$5:L$8,Supuestos!$D$46:$D$49)</f>
        <v>856.8</v>
      </c>
      <c r="M14" s="8" t="n">
        <f aca="false">SUMPRODUCT(M$5:M$8,Supuestos!$D$46:$D$49)</f>
        <v>1166.4</v>
      </c>
      <c r="N14" s="15" t="n">
        <f aca="false">SUM(B14:M14)</f>
        <v>18095.4</v>
      </c>
    </row>
    <row r="15" customFormat="false" ht="15" hidden="false" customHeight="false" outlineLevel="0" collapsed="false">
      <c r="A15" s="4" t="s">
        <v>207</v>
      </c>
      <c r="B15" s="15" t="n">
        <f aca="false">B13/Costeo!$C$5</f>
        <v>240</v>
      </c>
      <c r="C15" s="15" t="n">
        <f aca="false">C13/Costeo!$C$5</f>
        <v>354</v>
      </c>
      <c r="D15" s="15" t="n">
        <f aca="false">D13/Costeo!$C$5</f>
        <v>476</v>
      </c>
      <c r="E15" s="15" t="n">
        <f aca="false">E13/Costeo!$C$5</f>
        <v>564</v>
      </c>
      <c r="F15" s="15" t="n">
        <f aca="false">F13/Costeo!$C$5</f>
        <v>524.8</v>
      </c>
      <c r="G15" s="15" t="n">
        <f aca="false">G13/Costeo!$C$5</f>
        <v>620.6</v>
      </c>
      <c r="H15" s="15" t="n">
        <f aca="false">H13/Costeo!$C$5</f>
        <v>774</v>
      </c>
      <c r="I15" s="15" t="n">
        <f aca="false">I13/Costeo!$C$5</f>
        <v>834</v>
      </c>
      <c r="J15" s="15" t="n">
        <f aca="false">J13/Costeo!$C$5</f>
        <v>910</v>
      </c>
      <c r="K15" s="15" t="n">
        <f aca="false">K13/Costeo!$C$5</f>
        <v>704</v>
      </c>
      <c r="L15" s="15" t="n">
        <f aca="false">L13/Costeo!$C$5</f>
        <v>365.6</v>
      </c>
      <c r="M15" s="15" t="n">
        <f aca="false">M13/Costeo!$C$5</f>
        <v>468.8</v>
      </c>
      <c r="N15" s="15" t="n">
        <f aca="false">SUM(B15:M15)</f>
        <v>6835.8</v>
      </c>
    </row>
    <row r="16" customFormat="false" ht="15" hidden="false" customHeight="false" outlineLevel="0" collapsed="false">
      <c r="A16" s="4" t="s">
        <v>208</v>
      </c>
      <c r="B16" s="15" t="n">
        <f aca="false">B14/Costeo!$E$5</f>
        <v>54</v>
      </c>
      <c r="C16" s="15" t="n">
        <f aca="false">C14/Costeo!$E$5</f>
        <v>84</v>
      </c>
      <c r="D16" s="15" t="n">
        <f aca="false">D14/Costeo!$E$5</f>
        <v>108</v>
      </c>
      <c r="E16" s="15" t="n">
        <f aca="false">E14/Costeo!$E$5</f>
        <v>129</v>
      </c>
      <c r="F16" s="15" t="n">
        <f aca="false">F14/Costeo!$E$5</f>
        <v>115.2</v>
      </c>
      <c r="G16" s="15" t="n">
        <f aca="false">G14/Costeo!$E$5</f>
        <v>135.15</v>
      </c>
      <c r="H16" s="15" t="n">
        <f aca="false">H14/Costeo!$E$5</f>
        <v>174</v>
      </c>
      <c r="I16" s="15" t="n">
        <f aca="false">I14/Costeo!$E$5</f>
        <v>189</v>
      </c>
      <c r="J16" s="15" t="n">
        <f aca="false">J14/Costeo!$E$5</f>
        <v>204</v>
      </c>
      <c r="K16" s="15" t="n">
        <f aca="false">K14/Costeo!$E$5</f>
        <v>147</v>
      </c>
      <c r="L16" s="15" t="n">
        <f aca="false">L14/Costeo!$E$5</f>
        <v>71.4</v>
      </c>
      <c r="M16" s="15" t="n">
        <f aca="false">M14/Costeo!$E$5</f>
        <v>97.2</v>
      </c>
      <c r="N16" s="15" t="n">
        <f aca="false">SUM(B16:M16)</f>
        <v>1507.95</v>
      </c>
    </row>
    <row r="18" customFormat="false" ht="15" hidden="false" customHeight="false" outlineLevel="0" collapsed="false">
      <c r="A18" s="16" t="s">
        <v>209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customFormat="false" ht="15" hidden="false" customHeight="false" outlineLevel="0" collapsed="false">
      <c r="A19" s="4" t="s">
        <v>35</v>
      </c>
      <c r="B19" s="9" t="n">
        <f aca="false">SUMPRODUCT(B$5:B$8,Proyeccion!$H$22:$H$25)</f>
        <v>11079</v>
      </c>
      <c r="C19" s="9" t="n">
        <f aca="false">SUMPRODUCT(C$5:C$8,Proyeccion!$H$22:$H$25)</f>
        <v>16278</v>
      </c>
      <c r="D19" s="9" t="n">
        <f aca="false">SUMPRODUCT(D$5:D$8,Proyeccion!$H$22:$H$25)</f>
        <v>21100.8</v>
      </c>
      <c r="E19" s="9" t="n">
        <f aca="false">SUMPRODUCT(E$5:E$8,Proyeccion!$H$22:$H$25)</f>
        <v>25010.7</v>
      </c>
      <c r="F19" s="9" t="n">
        <f aca="false">SUMPRODUCT(F$5:F$8,Proyeccion!$H$22:$H$25)</f>
        <v>23157.6</v>
      </c>
      <c r="G19" s="9" t="n">
        <f aca="false">SUMPRODUCT(G$5:G$8,Proyeccion!$H$22:$H$25)</f>
        <v>28003.875</v>
      </c>
      <c r="H19" s="9" t="n">
        <f aca="false">SUMPRODUCT(H$5:H$8,Proyeccion!$H$22:$H$25)</f>
        <v>34643.4</v>
      </c>
      <c r="I19" s="9" t="n">
        <f aca="false">SUMPRODUCT(I$5:I$8,Proyeccion!$H$22:$H$25)</f>
        <v>37080.9</v>
      </c>
      <c r="J19" s="9" t="n">
        <f aca="false">SUMPRODUCT(J$5:J$8,Proyeccion!$H$22:$H$25)</f>
        <v>41167.8</v>
      </c>
      <c r="K19" s="9" t="n">
        <f aca="false">SUMPRODUCT(K$5:K$8,Proyeccion!$H$22:$H$25)</f>
        <v>31430.7</v>
      </c>
      <c r="L19" s="9" t="n">
        <f aca="false">SUMPRODUCT(L$5:L$8,Proyeccion!$H$22:$H$25)</f>
        <v>14877.54</v>
      </c>
      <c r="M19" s="9" t="n">
        <f aca="false">SUMPRODUCT(M$5:M$8,Proyeccion!$H$22:$H$25)</f>
        <v>19070.04</v>
      </c>
      <c r="N19" s="29" t="n">
        <f aca="false">SUM(B19:M19)</f>
        <v>302900.355</v>
      </c>
    </row>
    <row r="20" customFormat="false" ht="15" hidden="false" customHeight="false" outlineLevel="0" collapsed="false">
      <c r="A20" s="4" t="s">
        <v>36</v>
      </c>
      <c r="B20" s="29" t="n">
        <f aca="false">B19/(1+Supuestos!$B$26)</f>
        <v>9388.98305084746</v>
      </c>
      <c r="C20" s="29" t="n">
        <f aca="false">C19/(1+Supuestos!$B$26)</f>
        <v>13794.9152542373</v>
      </c>
      <c r="D20" s="29" t="n">
        <f aca="false">D19/(1+Supuestos!$B$26)</f>
        <v>17882.0338983051</v>
      </c>
      <c r="E20" s="29" t="n">
        <f aca="false">E19/(1+Supuestos!$B$26)</f>
        <v>21195.5084745763</v>
      </c>
      <c r="F20" s="29" t="n">
        <f aca="false">F19/(1+Supuestos!$B$26)</f>
        <v>19625.0847457627</v>
      </c>
      <c r="G20" s="29" t="n">
        <f aca="false">G19/(1+Supuestos!$B$26)</f>
        <v>23732.0974576271</v>
      </c>
      <c r="H20" s="29" t="n">
        <f aca="false">H19/(1+Supuestos!$B$26)</f>
        <v>29358.813559322</v>
      </c>
      <c r="I20" s="29" t="n">
        <f aca="false">I19/(1+Supuestos!$B$26)</f>
        <v>31424.4915254237</v>
      </c>
      <c r="J20" s="29" t="n">
        <f aca="false">J19/(1+Supuestos!$B$26)</f>
        <v>34887.9661016949</v>
      </c>
      <c r="K20" s="29" t="n">
        <f aca="false">K19/(1+Supuestos!$B$26)</f>
        <v>26636.186440678</v>
      </c>
      <c r="L20" s="29" t="n">
        <f aca="false">L19/(1+Supuestos!$B$26)</f>
        <v>12608.0847457627</v>
      </c>
      <c r="M20" s="29" t="n">
        <f aca="false">M19/(1+Supuestos!$B$26)</f>
        <v>16161.0508474576</v>
      </c>
      <c r="N20" s="29" t="n">
        <f aca="false">SUM(B20:M20)</f>
        <v>256695.216101695</v>
      </c>
    </row>
    <row r="21" customFormat="false" ht="15" hidden="false" customHeight="false" outlineLevel="0" collapsed="false">
      <c r="A21" s="4" t="s">
        <v>210</v>
      </c>
      <c r="B21" s="9" t="n">
        <f aca="false">SUMPRODUCT(B$5:B$8,Proyeccion!$F$22:$F$25)</f>
        <v>2437.12922033898</v>
      </c>
      <c r="C21" s="9" t="n">
        <f aca="false">SUMPRODUCT(C$5:C$8,Proyeccion!$F$22:$F$25)</f>
        <v>3543.04210169492</v>
      </c>
      <c r="D21" s="9" t="n">
        <f aca="false">SUMPRODUCT(D$5:D$8,Proyeccion!$F$22:$F$25)</f>
        <v>4588.95055932204</v>
      </c>
      <c r="E21" s="9" t="n">
        <f aca="false">SUMPRODUCT(E$5:E$8,Proyeccion!$F$22:$F$25)</f>
        <v>5422.42438983051</v>
      </c>
      <c r="F21" s="9" t="n">
        <f aca="false">SUMPRODUCT(F$5:F$8,Proyeccion!$F$22:$F$25)</f>
        <v>5042.19469830509</v>
      </c>
      <c r="G21" s="9" t="n">
        <f aca="false">SUMPRODUCT(G$5:G$8,Proyeccion!$F$22:$F$25)</f>
        <v>6117.37083305085</v>
      </c>
      <c r="H21" s="9" t="n">
        <f aca="false">SUMPRODUCT(H$5:H$8,Proyeccion!$F$22:$F$25)</f>
        <v>7518.91642372882</v>
      </c>
      <c r="I21" s="9" t="n">
        <f aca="false">SUMPRODUCT(I$5:I$8,Proyeccion!$F$22:$F$25)</f>
        <v>8035.4976101695</v>
      </c>
      <c r="J21" s="9" t="n">
        <f aca="false">SUMPRODUCT(J$5:J$8,Proyeccion!$F$22:$F$25)</f>
        <v>8951.05744067797</v>
      </c>
      <c r="K21" s="9" t="n">
        <f aca="false">SUMPRODUCT(K$5:K$8,Proyeccion!$F$22:$F$25)</f>
        <v>6880.05757627119</v>
      </c>
      <c r="L21" s="9" t="n">
        <f aca="false">SUMPRODUCT(L$5:L$8,Proyeccion!$F$22:$F$25)</f>
        <v>3246.41749830509</v>
      </c>
      <c r="M21" s="9" t="n">
        <f aca="false">SUMPRODUCT(M$5:M$8,Proyeccion!$F$22:$F$25)</f>
        <v>4134.93713898305</v>
      </c>
      <c r="N21" s="29" t="n">
        <f aca="false">SUM(B21:M21)</f>
        <v>65917.995490678</v>
      </c>
    </row>
    <row r="22" customFormat="false" ht="15" hidden="false" customHeight="false" outlineLevel="0" collapsed="false">
      <c r="A22" s="4" t="s">
        <v>211</v>
      </c>
      <c r="B22" s="9" t="n">
        <f aca="false">SUMPRODUCT(B$5:B$8,Proyeccion!$G$22:$G$25)</f>
        <v>2558.08922033898</v>
      </c>
      <c r="C22" s="9" t="n">
        <f aca="false">SUMPRODUCT(C$5:C$8,Proyeccion!$G$22:$G$25)</f>
        <v>3721.45810169492</v>
      </c>
      <c r="D22" s="9" t="n">
        <f aca="false">SUMPRODUCT(D$5:D$8,Proyeccion!$G$22:$G$25)</f>
        <v>4828.85455932204</v>
      </c>
      <c r="E22" s="9" t="n">
        <f aca="false">SUMPRODUCT(E$5:E$8,Proyeccion!$G$22:$G$25)</f>
        <v>5706.68038983051</v>
      </c>
      <c r="F22" s="9" t="n">
        <f aca="false">SUMPRODUCT(F$5:F$8,Proyeccion!$G$22:$G$25)</f>
        <v>5306.69389830509</v>
      </c>
      <c r="G22" s="9" t="n">
        <f aca="false">SUMPRODUCT(G$5:G$8,Proyeccion!$G$22:$G$25)</f>
        <v>6430.15323305085</v>
      </c>
      <c r="H22" s="9" t="n">
        <f aca="false">SUMPRODUCT(H$5:H$8,Proyeccion!$G$22:$G$25)</f>
        <v>7909.01242372882</v>
      </c>
      <c r="I22" s="9" t="n">
        <f aca="false">SUMPRODUCT(I$5:I$8,Proyeccion!$G$22:$G$25)</f>
        <v>8455.83361016949</v>
      </c>
      <c r="J22" s="9" t="n">
        <f aca="false">SUMPRODUCT(J$5:J$8,Proyeccion!$G$22:$G$25)</f>
        <v>9409.69744067797</v>
      </c>
      <c r="K22" s="9" t="n">
        <f aca="false">SUMPRODUCT(K$5:K$8,Proyeccion!$G$22:$G$25)</f>
        <v>7234.87357627119</v>
      </c>
      <c r="L22" s="9" t="n">
        <f aca="false">SUMPRODUCT(L$5:L$8,Proyeccion!$G$22:$G$25)</f>
        <v>3430.67989830509</v>
      </c>
      <c r="M22" s="9" t="n">
        <f aca="false">SUMPRODUCT(M$5:M$8,Proyeccion!$G$22:$G$25)</f>
        <v>4371.21233898305</v>
      </c>
      <c r="N22" s="29" t="n">
        <f aca="false">SUM(B22:M22)</f>
        <v>69363.238690678</v>
      </c>
    </row>
    <row r="23" customFormat="false" ht="15" hidden="false" customHeight="false" outlineLevel="0" collapsed="false">
      <c r="A23" s="4" t="s">
        <v>212</v>
      </c>
      <c r="B23" s="9" t="n">
        <f aca="false">Supuestos!$B$58</f>
        <v>2856.67</v>
      </c>
      <c r="C23" s="9" t="n">
        <f aca="false">Supuestos!$B$58</f>
        <v>2856.67</v>
      </c>
      <c r="D23" s="9" t="n">
        <f aca="false">Supuestos!$B$58</f>
        <v>2856.67</v>
      </c>
      <c r="E23" s="9" t="n">
        <f aca="false">Supuestos!$B$58</f>
        <v>2856.67</v>
      </c>
      <c r="F23" s="9" t="n">
        <f aca="false">Supuestos!$B$58</f>
        <v>2856.67</v>
      </c>
      <c r="G23" s="9" t="n">
        <f aca="false">Supuestos!$B$58</f>
        <v>2856.67</v>
      </c>
      <c r="H23" s="9" t="n">
        <f aca="false">Supuestos!$B$58</f>
        <v>2856.67</v>
      </c>
      <c r="I23" s="9" t="n">
        <f aca="false">Supuestos!$B$58</f>
        <v>2856.67</v>
      </c>
      <c r="J23" s="9" t="n">
        <f aca="false">Supuestos!$B$58</f>
        <v>2856.67</v>
      </c>
      <c r="K23" s="9" t="n">
        <f aca="false">Supuestos!$B$58</f>
        <v>2856.67</v>
      </c>
      <c r="L23" s="9" t="n">
        <f aca="false">Supuestos!$B$58</f>
        <v>2856.67</v>
      </c>
      <c r="M23" s="9" t="n">
        <f aca="false">Supuestos!$B$58</f>
        <v>2856.67</v>
      </c>
      <c r="N23" s="29" t="n">
        <f aca="false">SUM(B23:M23)</f>
        <v>34280.04</v>
      </c>
    </row>
    <row r="24" customFormat="false" ht="15" hidden="false" customHeight="false" outlineLevel="0" collapsed="false">
      <c r="A24" s="10" t="s">
        <v>213</v>
      </c>
      <c r="B24" s="11" t="n">
        <f aca="false">B21-B23</f>
        <v>-419.540779661016</v>
      </c>
      <c r="C24" s="11" t="n">
        <f aca="false">C21-C23</f>
        <v>686.372101694917</v>
      </c>
      <c r="D24" s="11" t="n">
        <f aca="false">D21-D23</f>
        <v>1732.28055932204</v>
      </c>
      <c r="E24" s="11" t="n">
        <f aca="false">E21-E23</f>
        <v>2565.75438983051</v>
      </c>
      <c r="F24" s="11" t="n">
        <f aca="false">F21-F23</f>
        <v>2185.52469830509</v>
      </c>
      <c r="G24" s="11" t="n">
        <f aca="false">G21-G23</f>
        <v>3260.70083305085</v>
      </c>
      <c r="H24" s="11" t="n">
        <f aca="false">H21-H23</f>
        <v>4662.24642372882</v>
      </c>
      <c r="I24" s="11" t="n">
        <f aca="false">I21-I23</f>
        <v>5178.8276101695</v>
      </c>
      <c r="J24" s="11" t="n">
        <f aca="false">J21-J23</f>
        <v>6094.38744067797</v>
      </c>
      <c r="K24" s="11" t="n">
        <f aca="false">K21-K23</f>
        <v>4023.38757627119</v>
      </c>
      <c r="L24" s="11" t="n">
        <f aca="false">L21-L23</f>
        <v>389.747498305086</v>
      </c>
      <c r="M24" s="11" t="n">
        <f aca="false">M21-M23</f>
        <v>1278.26713898305</v>
      </c>
      <c r="N24" s="11" t="n">
        <f aca="false">SUM(B24:M24)</f>
        <v>31637.955490678</v>
      </c>
    </row>
    <row r="25" customFormat="false" ht="15" hidden="false" customHeight="false" outlineLevel="0" collapsed="false">
      <c r="A25" s="10" t="s">
        <v>214</v>
      </c>
      <c r="B25" s="11" t="n">
        <f aca="false">B22-B23</f>
        <v>-298.580779661017</v>
      </c>
      <c r="C25" s="11" t="n">
        <f aca="false">C22-C23</f>
        <v>864.788101694916</v>
      </c>
      <c r="D25" s="11" t="n">
        <f aca="false">D22-D23</f>
        <v>1972.18455932204</v>
      </c>
      <c r="E25" s="11" t="n">
        <f aca="false">E22-E23</f>
        <v>2850.01038983051</v>
      </c>
      <c r="F25" s="11" t="n">
        <f aca="false">F22-F23</f>
        <v>2450.02389830509</v>
      </c>
      <c r="G25" s="11" t="n">
        <f aca="false">G22-G23</f>
        <v>3573.48323305085</v>
      </c>
      <c r="H25" s="11" t="n">
        <f aca="false">H22-H23</f>
        <v>5052.34242372882</v>
      </c>
      <c r="I25" s="11" t="n">
        <f aca="false">I22-I23</f>
        <v>5599.16361016949</v>
      </c>
      <c r="J25" s="11" t="n">
        <f aca="false">J22-J23</f>
        <v>6553.02744067797</v>
      </c>
      <c r="K25" s="11" t="n">
        <f aca="false">K22-K23</f>
        <v>4378.20357627119</v>
      </c>
      <c r="L25" s="11" t="n">
        <f aca="false">L22-L23</f>
        <v>574.009898305085</v>
      </c>
      <c r="M25" s="11" t="n">
        <f aca="false">M22-M23</f>
        <v>1514.54233898305</v>
      </c>
      <c r="N25" s="11" t="n">
        <f aca="false">SUM(B25:M25)</f>
        <v>35083.198690678</v>
      </c>
    </row>
    <row r="26" customFormat="false" ht="15" hidden="false" customHeight="false" outlineLevel="0" collapsed="false">
      <c r="A26" s="4" t="s">
        <v>215</v>
      </c>
      <c r="B26" s="29" t="n">
        <f aca="false">B24</f>
        <v>-419.540779661016</v>
      </c>
      <c r="C26" s="29" t="n">
        <f aca="false">B26+C24</f>
        <v>266.831322033901</v>
      </c>
      <c r="D26" s="29" t="n">
        <f aca="false">C26+D24</f>
        <v>1999.11188135594</v>
      </c>
      <c r="E26" s="29" t="n">
        <f aca="false">D26+E24</f>
        <v>4564.86627118645</v>
      </c>
      <c r="F26" s="29" t="n">
        <f aca="false">E26+F24</f>
        <v>6750.39096949154</v>
      </c>
      <c r="G26" s="29" t="n">
        <f aca="false">F26+G24</f>
        <v>10011.0918025424</v>
      </c>
      <c r="H26" s="29" t="n">
        <f aca="false">G26+H24</f>
        <v>14673.3382262712</v>
      </c>
      <c r="I26" s="29" t="n">
        <f aca="false">H26+I24</f>
        <v>19852.1658364407</v>
      </c>
      <c r="J26" s="29" t="n">
        <f aca="false">I26+J24</f>
        <v>25946.5532771187</v>
      </c>
      <c r="K26" s="29" t="n">
        <f aca="false">J26+K24</f>
        <v>29969.9408533899</v>
      </c>
      <c r="L26" s="29" t="n">
        <f aca="false">K26+L24</f>
        <v>30359.6883516949</v>
      </c>
      <c r="M26" s="29" t="n">
        <f aca="false">L26+M24</f>
        <v>31637.955490678</v>
      </c>
    </row>
    <row r="27" customFormat="false" ht="15" hidden="false" customHeight="false" outlineLevel="0" collapsed="false">
      <c r="A27" s="4" t="s">
        <v>216</v>
      </c>
      <c r="B27" s="29" t="n">
        <f aca="false">B25</f>
        <v>-298.580779661017</v>
      </c>
      <c r="C27" s="29" t="n">
        <f aca="false">B27+C25</f>
        <v>566.207322033899</v>
      </c>
      <c r="D27" s="29" t="n">
        <f aca="false">C27+D25</f>
        <v>2538.39188135593</v>
      </c>
      <c r="E27" s="29" t="n">
        <f aca="false">D27+E25</f>
        <v>5388.40227118645</v>
      </c>
      <c r="F27" s="29" t="n">
        <f aca="false">E27+F25</f>
        <v>7838.42616949153</v>
      </c>
      <c r="G27" s="29" t="n">
        <f aca="false">F27+G25</f>
        <v>11411.9094025424</v>
      </c>
      <c r="H27" s="29" t="n">
        <f aca="false">G27+H25</f>
        <v>16464.2518262712</v>
      </c>
      <c r="I27" s="29" t="n">
        <f aca="false">H27+I25</f>
        <v>22063.4154364407</v>
      </c>
      <c r="J27" s="29" t="n">
        <f aca="false">I27+J25</f>
        <v>28616.4428771187</v>
      </c>
      <c r="K27" s="29" t="n">
        <f aca="false">J27+K25</f>
        <v>32994.6464533899</v>
      </c>
      <c r="L27" s="29" t="n">
        <f aca="false">K27+L25</f>
        <v>33568.6563516949</v>
      </c>
      <c r="M27" s="29" t="n">
        <f aca="false">L27+M25</f>
        <v>35083.198690678</v>
      </c>
    </row>
    <row r="29" customFormat="false" ht="15" hidden="false" customHeight="false" outlineLevel="0" collapsed="false">
      <c r="A29" s="4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2026-10-09T21:19:54Z</dcterms:created>
  <dc:creator>openpyxl</dc:creator>
  <dc:description/>
  <dc:language>en-US</dc:language>
  <cp:lastModifiedBy/>
  <dcterms:modified xsi:type="dcterms:W3CDTF">2026-10-09T21:19:54Z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