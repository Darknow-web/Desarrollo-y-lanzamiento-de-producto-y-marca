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Supuestos" sheetId="3" state="visible" r:id="rId3"/>
    <sheet xmlns:r="http://schemas.openxmlformats.org/officeDocument/2006/relationships" name="Costeo" sheetId="4" state="visible" r:id="rId4"/>
    <sheet xmlns:r="http://schemas.openxmlformats.org/officeDocument/2006/relationships" name="Proyeccion" sheetId="5" state="visible" r:id="rId5"/>
    <sheet xmlns:r="http://schemas.openxmlformats.org/officeDocument/2006/relationships" name="Inversion" sheetId="6" state="visible" r:id="rId6"/>
    <sheet xmlns:r="http://schemas.openxmlformats.org/officeDocument/2006/relationships" name="Mensual" sheetId="7" state="visible" r:id="rId7"/>
    <sheet xmlns:r="http://schemas.openxmlformats.org/officeDocument/2006/relationships" name="Anio2"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quot;S/ &quot;#,##0.00;&quot;(S/ &quot;#,##0.00\);\-"/>
    <numFmt numFmtId="165" formatCode="0.0%;\(0.0%\);\-"/>
    <numFmt numFmtId="166" formatCode="#,##0;\(#,##0\);\-"/>
    <numFmt numFmtId="167" formatCode="&quot;S/ &quot;#,##0;&quot;(S/ &quot;#,##0\);\-"/>
    <numFmt numFmtId="168" formatCode="0.0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5C301E"/>
      <sz val="14"/>
    </font>
    <font>
      <name val="Arial"/>
      <charset val="1"/>
      <family val="0"/>
      <color rgb="FF000000"/>
      <sz val="10"/>
    </font>
    <font>
      <name val="Arial"/>
      <charset val="1"/>
      <family val="0"/>
      <b val="1"/>
      <color rgb="FF000000"/>
      <sz val="10"/>
    </font>
    <font>
      <name val="Arial"/>
      <charset val="1"/>
      <family val="0"/>
      <b val="1"/>
      <color rgb="FFFFFFFF"/>
      <sz val="11"/>
    </font>
    <font>
      <name val="Arial"/>
      <charset val="1"/>
      <family val="0"/>
      <color rgb="FF008000"/>
      <sz val="10"/>
    </font>
    <font>
      <name val="Arial"/>
      <charset val="1"/>
      <family val="0"/>
      <b val="1"/>
      <color rgb="FF008000"/>
      <sz val="10"/>
    </font>
    <font>
      <name val="Arial"/>
      <charset val="1"/>
      <family val="0"/>
      <b val="1"/>
      <color rgb="FF5C301E"/>
      <sz val="11"/>
    </font>
    <font>
      <name val="Arial"/>
      <charset val="1"/>
      <family val="0"/>
      <color rgb="FF0000FF"/>
      <sz val="10"/>
    </font>
  </fonts>
  <fills count="6">
    <fill>
      <patternFill/>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xf numFmtId="164"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38" min="1" max="1"/>
  </cols>
  <sheetData>
    <row r="1" ht="17.35" customHeight="1" s="39">
      <c r="A1" s="40" t="inlineStr">
        <is>
          <t>Cómo usar este archivo</t>
        </is>
      </c>
    </row>
    <row r="3" ht="35.05" customHeight="1" s="39">
      <c r="A3" s="41" t="inlineStr">
        <is>
          <t>Qué es: el costeo de AndiBite con cuatro presentaciones (unidad individual, pack de 6, pack de 12 y caja de 3 sabores), todas con cada brownie en bolsita individual. La planta de maquila hornea y empaca; no hay planta propia.</t>
        </is>
      </c>
    </row>
    <row r="4" ht="15" customHeight="1" s="39">
      <c r="A4" s="41" t="n"/>
    </row>
    <row r="5" ht="15" customHeight="1" s="39">
      <c r="A5" s="42" t="inlineStr">
        <is>
          <t>Colores:</t>
        </is>
      </c>
    </row>
    <row r="6" ht="15" customHeight="1" s="39">
      <c r="A6" s="41" t="inlineStr">
        <is>
          <t xml:space="preserve">  Texto azul = dato que pueden cambiar (precios, costos, mezcla, unidades por mes).</t>
        </is>
      </c>
    </row>
    <row r="7" ht="15" customHeight="1" s="39">
      <c r="A7" s="41" t="inlineStr">
        <is>
          <t xml:space="preserve">  Fondo amarillo = supuesto clave que todavía no está cotizado o validado.</t>
        </is>
      </c>
    </row>
    <row r="8" ht="15" customHeight="1" s="39">
      <c r="A8" s="41" t="inlineStr">
        <is>
          <t xml:space="preserve">  Texto negro = fórmula. Texto verde = fórmula que trae un dato de otra hoja.</t>
        </is>
      </c>
    </row>
    <row r="9" ht="15" customHeight="1" s="39">
      <c r="A9" s="41" t="n"/>
    </row>
    <row r="10" ht="15" customHeight="1" s="39">
      <c r="A10" s="42" t="inlineStr">
        <is>
          <t>Hojas:</t>
        </is>
      </c>
    </row>
    <row r="11" ht="15" customHeight="1" s="39">
      <c r="A11" s="41" t="inlineStr">
        <is>
          <t xml:space="preserve">  Resumen: costo por presentación, resultado del año y punto de equilibrio con las opciones B y C.</t>
        </is>
      </c>
    </row>
    <row r="12" ht="15" customHeight="1" s="39">
      <c r="A12" s="41" t="inlineStr">
        <is>
          <t xml:space="preserve">  Supuestos: todos los datos de entrada con su fuente.</t>
        </is>
      </c>
    </row>
    <row r="13" ht="15" customHeight="1" s="39">
      <c r="A13" s="41" t="inlineStr">
        <is>
          <t xml:space="preserve">  Inversion: la inversión inicial, con todos los documentos y permisos para vender, y su financiamiento.</t>
        </is>
      </c>
    </row>
    <row r="14" ht="15" customHeight="1" s="39">
      <c r="A14" s="41" t="inlineStr">
        <is>
          <t xml:space="preserve">  Costeo: costo de producción de cada presentación, línea por línea.</t>
        </is>
      </c>
    </row>
    <row r="15" ht="15" customHeight="1" s="39">
      <c r="A15" s="41" t="inlineStr">
        <is>
          <t xml:space="preserve">  Proyeccion: el año 1 desglosado por canal y presentación.</t>
        </is>
      </c>
    </row>
    <row r="16" ht="23.85" customHeight="1" s="39">
      <c r="A16" s="41" t="inlineStr">
        <is>
          <t xml:space="preserve">  Mensual: actividad comercial de cada mes del año 1 (stands, ferias, eventos, colegios y naturistas), unidades por canal, producción a pedir a la planta y resultado mensual.</t>
        </is>
      </c>
    </row>
    <row r="17" ht="15" customHeight="1" s="39">
      <c r="A17" s="41" t="inlineStr">
        <is>
          <t xml:space="preserve">  Anio2: el año 2 (2028) mes a mes con los 3 puntos de venta todo el año, su utilidad neta y la caja.</t>
        </is>
      </c>
    </row>
    <row r="18" ht="15" customHeight="1" s="39">
      <c r="A18" s="41" t="n"/>
    </row>
    <row r="19" ht="15" customHeight="1" s="39">
      <c r="A19" s="42" t="inlineStr">
        <is>
          <t>Cómo se proyecta cuando un producto tiene varias presentaciones (método de mezcla de ventas):</t>
        </is>
      </c>
    </row>
    <row r="20" ht="23.85" customHeight="1" s="39">
      <c r="A20" s="41" t="inlineStr">
        <is>
          <t xml:space="preserve">  1. Se proyectan las unidades de brownie por canal (cuántos brownies se comen, no cuántas bolsas). En el stand: puntos × días × brownies por día; en ferias: ferias × brownies por feria; WhatsApp: lo que vuelve a comprarse de lo vendido en físico.</t>
        </is>
      </c>
    </row>
    <row r="21" ht="23.85" customHeight="1" s="39">
      <c r="A21" s="41" t="inlineStr">
        <is>
          <t xml:space="preserve">  2. En cada canal se define la mezcla: qué % de esas unidades sale como unidad suelta, pack de 6 o pack de 12. Cada canal compra distinto: en el stand 6 de cada 10 se venden sueltos para probar; por WhatsApp se compran packs.</t>
        </is>
      </c>
    </row>
    <row r="22" ht="15" customHeight="1" s="39">
      <c r="A22" s="41" t="inlineStr">
        <is>
          <t xml:space="preserve">  3. Unidades × mezcla ÷ tamaño del envase = envases vendidos de cada presentación.</t>
        </is>
      </c>
    </row>
    <row r="23" ht="15" customHeight="1" s="39">
      <c r="A23" s="41" t="inlineStr">
        <is>
          <t xml:space="preserve">  4. Envases × precio de esa presentación en ese canal = ingreso. Envases × costo de esa presentación = costo de producción.</t>
        </is>
      </c>
    </row>
    <row r="24" ht="23.85" customHeight="1" s="39">
      <c r="A24" s="41" t="inlineStr">
        <is>
          <t xml:space="preserve">  5. Se resta el costo variable del canal (delivery, pasarela, degustación) y se suman las contribuciones. A esa suma se le restan el alquiler de los stands, las impulsadoras, las ferias pagadas y los costos fijos: eso es el resultado.</t>
        </is>
      </c>
    </row>
    <row r="25" ht="15" customHeight="1" s="39">
      <c r="A25" s="41" t="inlineStr">
        <is>
          <t xml:space="preserve">  La ventaja: si cambia la mezcla (por ejemplo, más packs de 12), el ingreso y el margen se recalculan solos sin rehacer la proyección.</t>
        </is>
      </c>
    </row>
    <row r="26" ht="15" customHeight="1" s="39">
      <c r="A26" s="41" t="n"/>
    </row>
    <row r="27" ht="23.85" customHeight="1" s="39">
      <c r="A27" s="41" t="inlineStr">
        <is>
          <t>Ejemplos para probar: en Mensual, cambie los brownies por día en cada punto (fila 7); en Supuestos, cambie el alquiler por punto (B57) o la maquila (B7) y mire el resultado en Resumen.</t>
        </is>
      </c>
    </row>
    <row r="28" ht="15" customHeight="1" s="39">
      <c r="A28" s="41" t="n"/>
    </row>
    <row r="29" ht="35.05" customHeight="1" s="39">
      <c r="A29" s="41" t="inlineStr">
        <is>
          <t>Modelo v7 (10-oct-2026): app a S/2,000 (prototipo hecho), delivery agrupado, embajadoras dentro de marketing, naturista S/18.50 y quiosco S/3.20, hierro medido cada 2 meses desde julio, caja de 3 sabores en el stand a S/16.50, ferias pagadas en febrero y abril (sin Navidad), vendedor(a) pagado(a) en ferias y eventos, carné de sanidad como requisito al contratar y línea de crédito de respaldo.</t>
        </is>
      </c>
    </row>
    <row r="30">
      <c r="A30" s="41" t="inlineStr">
        <is>
          <t>Actualizado el 20-oct-2026: campaña «Lo que nadie ve» con concurso #LoQueNadieVe; pauta 2027 S/4,050 en Meta y S/1,000 en YouTube; embajadores papás y mamás. Ninguna cifra cambió; el detalle está en Presupuesto-marketing-AndiBite.xlsx. 27-oct-2026: se retira la opción C (brownies sueltos); todas las presentaciones llevan bolsita individual. Cifras sin cambio.</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0" customWidth="1" style="38" min="1" max="1"/>
    <col width="20" customWidth="1" style="38" min="2" max="7"/>
  </cols>
  <sheetData>
    <row r="1" ht="17.35" customHeight="1" s="39">
      <c r="A1" s="40" t="inlineStr">
        <is>
          <t>AndiBite — Resumen del año 1 (enero a diciembre de 2027) y del año 2 (2028), escenario base con venta física</t>
        </is>
      </c>
    </row>
    <row r="2" ht="15" customHeight="1" s="39">
      <c r="A2" s="43" t="inlineStr">
        <is>
          <t>Todo se calcula desde las hojas Supuestos, Inversion, Costeo, Proyeccion, Mensual y Anio2. Cambie las celdas azules de Supuestos, Mensual o Anio2.</t>
        </is>
      </c>
    </row>
    <row r="4" ht="42" customHeight="1" s="39">
      <c r="A4" s="44" t="inlineStr">
        <is>
          <t>Presentación</t>
        </is>
      </c>
      <c r="B4" s="44" t="inlineStr">
        <is>
          <t>Costo de producción por envase</t>
        </is>
      </c>
      <c r="C4" s="44" t="inlineStr">
        <is>
          <t>Costo por unidad</t>
        </is>
      </c>
      <c r="D4" s="44" t="inlineStr">
        <is>
          <t>Precio en stand (con IGV)</t>
        </is>
      </c>
      <c r="E4" s="44" t="inlineStr">
        <is>
          <t>Margen bruto % en stand</t>
        </is>
      </c>
      <c r="F4" s="44" t="inlineStr">
        <is>
          <t>Precio por WhatsApp (con IGV)</t>
        </is>
      </c>
      <c r="G4" s="44" t="inlineStr">
        <is>
          <t>Margen bruto % por WhatsApp</t>
        </is>
      </c>
    </row>
    <row r="5" ht="15" customHeight="1" s="39">
      <c r="A5" s="43" t="inlineStr">
        <is>
          <t>Unidad individual</t>
        </is>
      </c>
      <c r="B5" s="45">
        <f>Costeo!B15</f>
        <v/>
      </c>
      <c r="C5" s="45">
        <f>Costeo!B16</f>
        <v/>
      </c>
      <c r="D5" s="45">
        <f>Costeo!B19</f>
        <v/>
      </c>
      <c r="E5" s="46">
        <f>Costeo!B22</f>
        <v/>
      </c>
      <c r="F5" s="45">
        <f>Costeo!B25</f>
        <v/>
      </c>
      <c r="G5" s="46">
        <f>Costeo!B28</f>
        <v/>
      </c>
    </row>
    <row r="6" ht="15" customHeight="1" s="39">
      <c r="A6" s="43" t="inlineStr">
        <is>
          <t>Pack de 6</t>
        </is>
      </c>
      <c r="B6" s="45">
        <f>Costeo!C15</f>
        <v/>
      </c>
      <c r="C6" s="45">
        <f>Costeo!C16</f>
        <v/>
      </c>
      <c r="D6" s="45">
        <f>Costeo!C19</f>
        <v/>
      </c>
      <c r="E6" s="46">
        <f>Costeo!C22</f>
        <v/>
      </c>
      <c r="F6" s="45">
        <f>Costeo!C25</f>
        <v/>
      </c>
      <c r="G6" s="46">
        <f>Costeo!C28</f>
        <v/>
      </c>
    </row>
    <row r="7" ht="15" customHeight="1" s="39">
      <c r="A7" s="43" t="n"/>
      <c r="B7" s="45" t="n"/>
      <c r="C7" s="45" t="n"/>
      <c r="D7" s="45" t="n"/>
      <c r="E7" s="46" t="n"/>
      <c r="F7" s="45" t="n"/>
      <c r="G7" s="46" t="n"/>
    </row>
    <row r="8" ht="15" customHeight="1" s="39">
      <c r="A8" s="43" t="inlineStr">
        <is>
          <t>Pack de 12</t>
        </is>
      </c>
      <c r="B8" s="45">
        <f>Costeo!E15</f>
        <v/>
      </c>
      <c r="C8" s="45">
        <f>Costeo!E16</f>
        <v/>
      </c>
      <c r="D8" s="45">
        <f>Costeo!E19</f>
        <v/>
      </c>
      <c r="E8" s="46">
        <f>Costeo!E22</f>
        <v/>
      </c>
      <c r="F8" s="45">
        <f>Costeo!E25</f>
        <v/>
      </c>
      <c r="G8" s="46">
        <f>Costeo!E28</f>
        <v/>
      </c>
    </row>
    <row r="9" ht="15" customHeight="1" s="39">
      <c r="A9" s="43" t="inlineStr">
        <is>
          <t>Caja de 3 sabores</t>
        </is>
      </c>
      <c r="B9" s="45">
        <f>Costeo!F15</f>
        <v/>
      </c>
      <c r="C9" s="45">
        <f>Costeo!F16</f>
        <v/>
      </c>
      <c r="D9" s="45">
        <f>Costeo!F19</f>
        <v/>
      </c>
      <c r="E9" s="46">
        <f>Costeo!F22</f>
        <v/>
      </c>
      <c r="F9" s="45">
        <f>Costeo!F25</f>
        <v/>
      </c>
      <c r="G9" s="46">
        <f>Costeo!F28</f>
        <v/>
      </c>
    </row>
    <row r="11" ht="15" customHeight="1" s="39">
      <c r="A11" s="44" t="inlineStr">
        <is>
          <t>Año 1</t>
        </is>
      </c>
      <c r="B11" s="44" t="inlineStr">
        <is>
          <t>Año 1</t>
        </is>
      </c>
      <c r="C11" s="44" t="n"/>
      <c r="D11" s="44" t="n"/>
      <c r="E11" s="44" t="n"/>
    </row>
    <row r="12" ht="15" customHeight="1" s="39">
      <c r="A12" s="43" t="inlineStr">
        <is>
          <t>Unidades vendidas</t>
        </is>
      </c>
      <c r="B12" s="47">
        <f>Proyeccion!F25</f>
        <v/>
      </c>
      <c r="C12" s="47" t="n"/>
    </row>
    <row r="13" ht="15" customHeight="1" s="39">
      <c r="A13" s="43" t="inlineStr">
        <is>
          <t>Ventas con IGV</t>
        </is>
      </c>
      <c r="B13" s="48">
        <f>Proyeccion!I25</f>
        <v/>
      </c>
      <c r="C13" s="48" t="n"/>
    </row>
    <row r="14" ht="15" customHeight="1" s="39">
      <c r="A14" s="43" t="inlineStr">
        <is>
          <t>Ventas sin IGV</t>
        </is>
      </c>
      <c r="B14" s="48">
        <f>Proyeccion!J25</f>
        <v/>
      </c>
      <c r="C14" s="48" t="n"/>
    </row>
    <row r="15" ht="15" customHeight="1" s="39">
      <c r="A15" s="43" t="inlineStr">
        <is>
          <t>Contribución (ventas sin IGV menos producción y costos variables de canal)</t>
        </is>
      </c>
      <c r="B15" s="48">
        <f>Proyeccion!P25</f>
        <v/>
      </c>
      <c r="C15" s="48" t="n"/>
    </row>
    <row r="16" ht="15" customHeight="1" s="39">
      <c r="A16" s="43" t="inlineStr">
        <is>
          <t>Stands, carritos, ferias y eventos del año (espacio, vendedores, ferias pagadas y aportes)</t>
        </is>
      </c>
      <c r="B16" s="48">
        <f>SUM(Mensual!N33:N36)</f>
        <v/>
      </c>
      <c r="C16" s="48" t="n"/>
    </row>
    <row r="17" ht="15" customHeight="1" s="39">
      <c r="A17" s="43" t="inlineStr">
        <is>
          <t>Costos fijos del año</t>
        </is>
      </c>
      <c r="B17" s="48">
        <f>Supuestos!B75*12</f>
        <v/>
      </c>
      <c r="C17" s="48" t="n"/>
    </row>
    <row r="18" ht="15" customHeight="1" s="39">
      <c r="A18" s="49" t="inlineStr">
        <is>
          <t>Resultado operativo del año (antes de intereses y renta anual)</t>
        </is>
      </c>
      <c r="B18" s="50">
        <f>B15-B16-B17</f>
        <v/>
      </c>
      <c r="C18" s="50" t="n"/>
    </row>
    <row r="19" ht="15" customHeight="1" s="39">
      <c r="A19" s="43" t="inlineStr">
        <is>
          <t>Margen operativo sobre ventas sin IGV</t>
        </is>
      </c>
      <c r="B19" s="51">
        <f>IF(B14=0,0,B18/B14)</f>
        <v/>
      </c>
      <c r="C19" s="51" t="n"/>
    </row>
    <row r="20" ht="15" customHeight="1" s="39">
      <c r="A20" s="43" t="inlineStr">
        <is>
          <t>Contribución por unidad después de stands, ferias y eventos</t>
        </is>
      </c>
      <c r="B20" s="52">
        <f>IF(B12=0,0,(B15-B16)/B12)</f>
        <v/>
      </c>
      <c r="C20" s="52" t="n"/>
    </row>
    <row r="21" ht="15" customHeight="1" s="39">
      <c r="A21" s="49" t="inlineStr">
        <is>
          <t>Punto de equilibrio (unidades al mes, promedio del año)</t>
        </is>
      </c>
      <c r="B21" s="53">
        <f>IF(B20&lt;=0,"No alcanza",Supuestos!$B$75/B20)</f>
        <v/>
      </c>
      <c r="C21" s="53" t="n"/>
    </row>
    <row r="22" ht="15" customHeight="1" s="39">
      <c r="A22" s="43" t="inlineStr">
        <is>
          <t>Punto de equilibrio en packs de 6 equivalentes al mes</t>
        </is>
      </c>
      <c r="B22" s="54">
        <f>IF(ISNUMBER(B21),B21/6,"No alcanza")</f>
        <v/>
      </c>
      <c r="C22" s="54" t="n"/>
    </row>
    <row r="23" ht="15" customHeight="1" s="39">
      <c r="A23" s="43" t="inlineStr">
        <is>
          <t>Inversión inicial (incluye todos los documentos y permisos)</t>
        </is>
      </c>
      <c r="B23" s="48">
        <f>Inversion!B42</f>
        <v/>
      </c>
      <c r="C23" s="48" t="n"/>
    </row>
    <row r="24" ht="15" customHeight="1" s="39">
      <c r="A24" s="43" t="inlineStr">
        <is>
          <t>Resultado del año 1 menos la inversión (negativo = falta recuperar)</t>
        </is>
      </c>
      <c r="B24" s="55">
        <f>B18-B23</f>
        <v/>
      </c>
      <c r="C24" s="55" t="n"/>
    </row>
    <row r="25" ht="15" customHeight="1" s="39">
      <c r="A25" s="43" t="inlineStr">
        <is>
          <t>Caja más baja del año, con la cuota del préstamo</t>
        </is>
      </c>
      <c r="B25" s="48">
        <f>MIN(Mensual!B44:M44)</f>
        <v/>
      </c>
      <c r="C25" s="48" t="n"/>
    </row>
    <row r="26" ht="15" customHeight="1" s="39">
      <c r="A26" s="49" t="inlineStr">
        <is>
          <t>Mes en que se recupera la inversión (mes 1 = enero de 2027; con el año 2 de la hoja Anio2)</t>
        </is>
      </c>
      <c r="B26" s="56">
        <f>IF(B18&gt;=B23,"Dentro del año 1",IF(Anio2!M31&gt;=B23,12+COUNTIF(Anio2!B31:M31,"&lt;"&amp;B23)+1,ROUNDUP(24+(B23-Anio2!M31)/AVERAGE(Anio2!B30:M30),0)))</f>
        <v/>
      </c>
      <c r="C26" s="57" t="n"/>
    </row>
    <row r="28" ht="15" customHeight="1" s="39">
      <c r="A28" s="49" t="inlineStr">
        <is>
          <t>De resultado operativo a utilidad neta (año 1)</t>
        </is>
      </c>
    </row>
    <row r="29" ht="15" customHeight="1" s="39">
      <c r="A29" s="43" t="inlineStr">
        <is>
          <t>Resultado operativo</t>
        </is>
      </c>
      <c r="B29" s="55">
        <f>B18</f>
        <v/>
      </c>
    </row>
    <row r="30" ht="15" customHeight="1" s="39">
      <c r="A30" s="43" t="inlineStr">
        <is>
          <t>Más: pagos a cuenta de renta ya restados en el costo de canal (1 % de las ventas sin IGV)</t>
        </is>
      </c>
      <c r="B30" s="48">
        <f>Supuestos!B28*B14</f>
        <v/>
      </c>
    </row>
    <row r="31" ht="15" customHeight="1" s="39">
      <c r="A31" s="43" t="inlineStr">
        <is>
          <t>Menos: intereses del préstamo en el año 1</t>
        </is>
      </c>
      <c r="B31" s="48">
        <f>-CUMIPMT((1+Inversion!B48)^(1/12)-1,Inversion!B49,Inversion!B47,1,12,0)</f>
        <v/>
      </c>
    </row>
    <row r="32" ht="15" customHeight="1" s="39">
      <c r="A32" s="43" t="inlineStr">
        <is>
          <t>Utilidad antes de impuestos</t>
        </is>
      </c>
      <c r="B32" s="55">
        <f>B29+B30-B31</f>
        <v/>
      </c>
    </row>
    <row r="33" ht="15" customHeight="1" s="39">
      <c r="A33" s="43" t="inlineStr">
        <is>
          <t>Impuesto a la renta del Régimen MYPE Tributario (10 % hasta 15 UIT de utilidad)</t>
        </is>
      </c>
      <c r="B33" s="55">
        <f>MAX(0,0.1*B32)</f>
        <v/>
      </c>
    </row>
    <row r="34" ht="15" customHeight="1" s="39">
      <c r="A34" s="49" t="inlineStr">
        <is>
          <t>Utilidad neta del año 1</t>
        </is>
      </c>
      <c r="B34" s="50">
        <f>B32-B33</f>
        <v/>
      </c>
    </row>
    <row r="35" ht="15" customHeight="1" s="39">
      <c r="A35" s="43" t="inlineStr">
        <is>
          <t>Rentabilidad del aporte de los socios en el año 1 (utilidad neta / S/25,000)</t>
        </is>
      </c>
      <c r="B35" s="46">
        <f>B34/Inversion!B46</f>
        <v/>
      </c>
    </row>
    <row r="37" ht="15" customHeight="1" s="39">
      <c r="A37" s="49" t="inlineStr">
        <is>
          <t>Año 2 (enero a diciembre de 2028, hoja Anio2)</t>
        </is>
      </c>
    </row>
    <row r="38" ht="15" customHeight="1" s="39">
      <c r="A38" s="43" t="inlineStr">
        <is>
          <t>Unidades vendidas</t>
        </is>
      </c>
      <c r="B38" s="47">
        <f>Anio2!N19</f>
        <v/>
      </c>
    </row>
    <row r="39" ht="15" customHeight="1" s="39">
      <c r="A39" s="43" t="inlineStr">
        <is>
          <t>Ventas con IGV</t>
        </is>
      </c>
      <c r="B39" s="48">
        <f>Anio2!N22</f>
        <v/>
      </c>
    </row>
    <row r="40" ht="15" customHeight="1" s="39">
      <c r="A40" s="49" t="inlineStr">
        <is>
          <t>Resultado operativo del año 2</t>
        </is>
      </c>
      <c r="B40" s="58">
        <f>Anio2!N30</f>
        <v/>
      </c>
    </row>
    <row r="41" ht="15" customHeight="1" s="39">
      <c r="A41" s="43" t="inlineStr">
        <is>
          <t>Margen operativo sobre ventas sin IGV</t>
        </is>
      </c>
      <c r="B41" s="46">
        <f>IF(Anio2!N23=0,0,Anio2!N30/Anio2!N23)</f>
        <v/>
      </c>
    </row>
    <row r="42" ht="15" customHeight="1" s="39">
      <c r="A42" s="49" t="inlineStr">
        <is>
          <t>Utilidad neta del año 2</t>
        </is>
      </c>
      <c r="B42" s="58">
        <f>Anio2!B42</f>
        <v/>
      </c>
    </row>
    <row r="43" ht="15" customHeight="1" s="39">
      <c r="A43" s="43" t="inlineStr">
        <is>
          <t>Rentabilidad del aporte de los socios en el año 2</t>
        </is>
      </c>
      <c r="B43" s="46">
        <f>Anio2!B42/Inversion!B46</f>
        <v/>
      </c>
    </row>
    <row r="44" ht="15" customHeight="1" s="39">
      <c r="A44" s="43" t="inlineStr">
        <is>
          <t>Caja al cierre del año 2 (préstamo ya pagado)</t>
        </is>
      </c>
      <c r="B44" s="48">
        <f>Anio2!M34</f>
        <v/>
      </c>
    </row>
    <row r="46" ht="15" customHeight="1" s="39">
      <c r="A46" s="49" t="inlineStr">
        <is>
          <t>Notas</t>
        </is>
      </c>
    </row>
    <row r="47" ht="15" customHeight="1" s="39">
      <c r="A47" s="43" t="inlineStr">
        <is>
          <t>1. La proyección supone que los documentos (S.A.C., marca, registro sanitario, análisis, etiqueta y póliza) ya están listos al inicio de ventas (mes 1, enero de 2027). Su costo está en la hoja Inversion. El carné de sanidad es requisito al contratar.</t>
        </is>
      </c>
    </row>
    <row r="48" ht="15" customHeight="1" s="39">
      <c r="A48" s="43" t="inlineStr">
        <is>
          <t>2. La venta física (stands, carritos, ferias y eventos) es el canal principal; WhatsApp queda para la recompra, sin suscripción. Todos los puntos de venta y eventos llevan vendedor(a) pagado(a) y un(a) coordinador(a) en planilla atiende pedidos y despacho.</t>
        </is>
      </c>
    </row>
    <row r="49" ht="15" customHeight="1" s="39">
      <c r="A49" s="43" t="inlineStr">
        <is>
          <t>3. Costo de producción con sangrecita de res en polvo liofilizada (S/0.605 de insumos por brownie, polvo a S/300 por kg a granel) y maquila de S/0.45 por brownie. Cada envase trae un código único de la app Andi, Misión Hierro.</t>
        </is>
      </c>
    </row>
    <row r="50" ht="15" customHeight="1" s="39">
      <c r="A50" s="43" t="inlineStr">
        <is>
          <t>4. El resultado operativo ya incluye al personal que opera el negocio (vendedores y coordinador en planilla). La utilidad neta descuenta además los intereses del préstamo y el impuesto a la renta.</t>
        </is>
      </c>
    </row>
    <row r="51" ht="15" customHeight="1" s="39">
      <c r="A51" s="43" t="inlineStr">
        <is>
          <t>5. Respaldo: línea de crédito de S/3,000 (hoja Inversion) por si las ventas por punto bajan; con 20 % menos, la caja más baja del año 1 llegaría a unos −S/2,200 y la línea la cubre.</t>
        </is>
      </c>
    </row>
    <row r="53">
      <c r="A53" s="44" t="inlineStr">
        <is>
          <t>Costo total por unidad, año 1 (promedio de las 52,331 unidades)</t>
        </is>
      </c>
      <c r="B53" s="44" t="inlineStr">
        <is>
          <t>Año 1</t>
        </is>
      </c>
      <c r="C53" s="44" t="n"/>
    </row>
    <row r="54">
      <c r="A54" s="43" t="inlineStr">
        <is>
          <t>Costo de producción por unidad (insumos, maquila, empaque, merma y control de calidad)</t>
        </is>
      </c>
      <c r="B54" s="52">
        <f>IF(B12=0,0,SUMPRODUCT(Proyeccion!K5:K24,Proyeccion!G5:G24)/B12)</f>
        <v/>
      </c>
      <c r="C54" s="52" t="n"/>
    </row>
    <row r="55">
      <c r="A55" s="43" t="inlineStr">
        <is>
          <t>Costo variable de canal por unidad (delivery, pasarela, degustación y comisiones)</t>
        </is>
      </c>
      <c r="B55" s="52">
        <f>IF(B12=0,0,SUMPRODUCT(Proyeccion!M5:M24,Proyeccion!G5:G24)/B12)</f>
        <v/>
      </c>
      <c r="C55" s="52" t="n"/>
    </row>
    <row r="56">
      <c r="A56" s="43" t="inlineStr">
        <is>
          <t>Stands, vendedores, ferias y eventos por unidad</t>
        </is>
      </c>
      <c r="B56" s="52">
        <f>IF(B12=0,0,B16/B12)</f>
        <v/>
      </c>
      <c r="C56" s="52" t="n"/>
    </row>
    <row r="57">
      <c r="A57" s="43" t="inlineStr">
        <is>
          <t>Costos fijos por unidad (administración, coordinadora, marketing y depreciación)</t>
        </is>
      </c>
      <c r="B57" s="52">
        <f>IF(B12=0,0,B17/B12)</f>
        <v/>
      </c>
      <c r="C57" s="52" t="n"/>
    </row>
    <row r="58">
      <c r="A58" s="49" t="inlineStr">
        <is>
          <t>Costo total por unidad</t>
        </is>
      </c>
      <c r="B58" s="77">
        <f>SUM(B54:B57)</f>
        <v/>
      </c>
      <c r="C58" s="77" t="n"/>
    </row>
    <row r="59">
      <c r="A59" s="43" t="inlineStr">
        <is>
          <t>Venta promedio por unidad sin IGV</t>
        </is>
      </c>
      <c r="B59" s="52">
        <f>IF(B12=0,0,B14/B12)</f>
        <v/>
      </c>
      <c r="C59" s="52" t="n"/>
    </row>
    <row r="60">
      <c r="A60" s="43" t="inlineStr">
        <is>
          <t>Resultado operativo por unidad (venta menos costo total)</t>
        </is>
      </c>
      <c r="B60" s="52">
        <f>B59-B58</f>
        <v/>
      </c>
      <c r="C60" s="52" t="n"/>
    </row>
    <row r="61">
      <c r="A61" s="43" t="inlineStr">
        <is>
          <t>El costo total por unidad suma lo que cuesta producir, vender y sostener el negocio, repartido entre todas las unidades del año. Es informativo: el punto de equilibrio de la fila 21 se calcula con la contribución por unidad (fila 20) y los costos fijos.</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F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8" min="1" max="1"/>
    <col width="16" customWidth="1" style="38" min="2" max="2"/>
    <col width="20" customWidth="1" style="38" min="3" max="3"/>
    <col width="90" customWidth="1" style="38" min="4" max="4"/>
    <col width="18" customWidth="1" style="38" min="5" max="5"/>
    <col width="60" customWidth="1" style="38" min="6" max="6"/>
  </cols>
  <sheetData>
    <row r="1" ht="17.35" customHeight="1" s="39">
      <c r="A1" s="40" t="inlineStr">
        <is>
          <t>Supuestos del costeo — AndiBite (maquila, escenario de 3,000 unidades al mes)</t>
        </is>
      </c>
    </row>
    <row r="2" ht="15" customHeight="1" s="39">
      <c r="A2" s="43" t="inlineStr">
        <is>
          <t>Celdas azules = datos que pueden cambiar. Amarillo = supuestos clave sin cotizar. Montos en soles. Fuente general: 04-reformulacion/05-plan-comercial-y-financiero.md, sección 4.</t>
        </is>
      </c>
    </row>
    <row r="4" ht="15" customHeight="1" s="39">
      <c r="A4" s="59" t="inlineStr">
        <is>
          <t>1. Costos de producción por unidad de 20 g (sin IGV)</t>
        </is>
      </c>
      <c r="B4" s="60" t="n"/>
      <c r="C4" s="60" t="n"/>
      <c r="D4" s="60" t="n"/>
    </row>
    <row r="5" ht="15" customHeight="1" s="39">
      <c r="A5" s="44" t="inlineStr">
        <is>
          <t>Concepto</t>
        </is>
      </c>
      <c r="B5" s="44" t="inlineStr">
        <is>
          <t>Valor</t>
        </is>
      </c>
      <c r="C5" s="44" t="inlineStr">
        <is>
          <t>Unidad</t>
        </is>
      </c>
      <c r="D5" s="44" t="inlineStr">
        <is>
          <t>Fuente o nota</t>
        </is>
      </c>
    </row>
    <row r="6" ht="15" customHeight="1" s="39">
      <c r="A6" s="43" t="inlineStr">
        <is>
          <t>Insumos por unidad (promedio de los 3 sabores, con sangrecita de res en polvo liofilizada)</t>
        </is>
      </c>
      <c r="B6" s="61" t="n">
        <v>0.605</v>
      </c>
      <c r="C6" s="43" t="inlineStr">
        <is>
          <t>S/ por unidad</t>
        </is>
      </c>
      <c r="D6" s="43" t="inlineStr">
        <is>
          <t>Receta 5 del documento 01: 22 g de sangrecita en polvo + 98 g de agua por lote de 24 (0.92 g de polvo por brownie). Polvo de res liofilizado con registro sanitario, comprado a granel en bolsas de 1 a 5 kg a S/300 por kg (en sobre de tienda cuesta S/417 a 667 por kg: Malli, Allpa Manta). Resto de insumos según documento 05 (Makro, mayoristas, Plaza Vea y Wong, sin IGV)</t>
        </is>
      </c>
    </row>
    <row r="7" ht="15" customHeight="1" s="39">
      <c r="A7" s="43" t="inlineStr">
        <is>
          <t>Maquila por unidad (la planta hidrata la sangrecita en polvo, mezcla, hornea, corta, pesa y sella la bolsita)</t>
        </is>
      </c>
      <c r="B7" s="61" t="n">
        <v>0.45</v>
      </c>
      <c r="C7" s="43" t="inlineStr">
        <is>
          <t>S/ por unidad</t>
        </is>
      </c>
      <c r="D7" s="43" t="inlineStr">
        <is>
          <t>Tarifa de maquila de snacks horneados en Lima: S/20.75 por kg de producto terminado, elaboración y empaque incluidos (Organic Andean Bites, documento 03), actualizada a 2027: S/0.45 por brownie de 20 g</t>
        </is>
      </c>
    </row>
    <row r="8" ht="15" customHeight="1" s="39">
      <c r="A8" s="43" t="n"/>
      <c r="B8" s="62" t="n"/>
      <c r="C8" s="43" t="n"/>
      <c r="D8" s="43" t="n"/>
    </row>
    <row r="9" ht="15" customHeight="1" s="39">
      <c r="A9" s="43" t="inlineStr">
        <is>
          <t>Bolsita individual (flow pack sin imprimir)</t>
        </is>
      </c>
      <c r="B9" s="61" t="n">
        <v>0.09</v>
      </c>
      <c r="C9" s="43" t="inlineStr">
        <is>
          <t>S/ por unidad</t>
        </is>
      </c>
      <c r="D9" s="43" t="inlineStr">
        <is>
          <t>Documento 05, tabla 4.2</t>
        </is>
      </c>
    </row>
    <row r="10" ht="15" customHeight="1" s="39">
      <c r="A10" s="43" t="inlineStr">
        <is>
          <t>Etiqueta individual con rotulado completo y código único de la app (solo unidad que se vende suelta)</t>
        </is>
      </c>
      <c r="B10" s="61" t="n">
        <v>0.29</v>
      </c>
      <c r="C10" s="43" t="inlineStr">
        <is>
          <t>S/ por unidad</t>
        </is>
      </c>
      <c r="D10" s="43" t="inlineStr">
        <is>
          <t>Imprenta Peruana, 1,000 unidades sin IGV (documento 02): S/0.25, más S/0.04 por el código único impreso con dato variable (QR de la app Andi, Misión Hierro)</t>
        </is>
      </c>
    </row>
    <row r="11" ht="15" customHeight="1" s="39">
      <c r="A11" s="43" t="n"/>
      <c r="B11" s="61" t="n"/>
      <c r="C11" s="43" t="n"/>
      <c r="D11" s="43" t="n"/>
    </row>
    <row r="12" ht="15" customHeight="1" s="39">
      <c r="A12" s="43" t="inlineStr">
        <is>
          <t>Control de calidad por lote (microbiológico y hierro medido), prorrateado por unidad</t>
        </is>
      </c>
      <c r="B12" s="63">
        <f>(250*12+375*9)/(12*4400)</f>
        <v/>
      </c>
      <c r="C12" s="43" t="inlineStr">
        <is>
          <t>S/ por unidad</t>
        </is>
      </c>
      <c r="D12" s="43" t="inlineStr">
        <is>
          <t>Análisis microbiológico de cada lote mensual S/250 (12 al año, documento 05) + hierro medido S/375 (el resultado se publica en la app): todos los meses de enero a junio y cada 2 meses desde julio (9 al año, cuando la receta ya es estable) / 4,400 unidades al mes en promedio del año 1</t>
        </is>
      </c>
    </row>
    <row r="13" ht="15" customHeight="1" s="39">
      <c r="A13" s="43" t="inlineStr">
        <is>
          <t>Transporte planta-almacén por unidad</t>
        </is>
      </c>
      <c r="B13" s="61" t="n">
        <v>0.053</v>
      </c>
      <c r="C13" s="43" t="inlineStr">
        <is>
          <t>S/ por unidad</t>
        </is>
      </c>
      <c r="D13" s="43" t="inlineStr">
        <is>
          <t>2 viajes de S/80 al mes / 3,000 unidades (documento 05)</t>
        </is>
      </c>
    </row>
    <row r="14" ht="15" customHeight="1" s="39">
      <c r="A14" s="43" t="inlineStr">
        <is>
          <t>Almacenamiento por unidad</t>
        </is>
      </c>
      <c r="B14" s="61" t="n">
        <v>0.04</v>
      </c>
      <c r="C14" s="43" t="inlineStr">
        <is>
          <t>S/ por unidad</t>
        </is>
      </c>
      <c r="D14" s="43" t="inlineStr">
        <is>
          <t>Pactado con la planta u operador logístico (documento 05)</t>
        </is>
      </c>
    </row>
    <row r="15" ht="15" customHeight="1" s="39">
      <c r="A15" s="43" t="inlineStr">
        <is>
          <t>Merma (sobre insumos, maquila y empaque)</t>
        </is>
      </c>
      <c r="B15" s="64" t="n">
        <v>0.05</v>
      </c>
      <c r="C15" s="43" t="inlineStr">
        <is>
          <t>%</t>
        </is>
      </c>
      <c r="D15" s="43" t="inlineStr">
        <is>
          <t>[HIPÓTESIS] Documento 05</t>
        </is>
      </c>
    </row>
    <row r="17" ht="15" customHeight="1" s="39">
      <c r="A17" s="59" t="inlineStr">
        <is>
          <t>2. Empaque del pack (por envase, sin IGV)</t>
        </is>
      </c>
      <c r="B17" s="60" t="n"/>
      <c r="C17" s="60" t="n"/>
      <c r="D17" s="60" t="n"/>
    </row>
    <row r="18" ht="15" customHeight="1" s="39">
      <c r="A18" s="44" t="inlineStr">
        <is>
          <t>Concepto</t>
        </is>
      </c>
      <c r="B18" s="44" t="inlineStr">
        <is>
          <t>Valor</t>
        </is>
      </c>
      <c r="C18" s="44" t="inlineStr">
        <is>
          <t>Unidad</t>
        </is>
      </c>
      <c r="D18" s="44" t="inlineStr">
        <is>
          <t>Fuente o nota</t>
        </is>
      </c>
    </row>
    <row r="19" ht="15" customHeight="1" s="39">
      <c r="A19" s="43" t="inlineStr">
        <is>
          <t>Doypack kraft para 6 unidades</t>
        </is>
      </c>
      <c r="B19" s="65" t="n">
        <v>0.53</v>
      </c>
      <c r="C19" s="43" t="inlineStr">
        <is>
          <t>S/ por envase</t>
        </is>
      </c>
      <c r="D19" s="43" t="inlineStr">
        <is>
          <t>S/0.625 con IGV por 1,000 unidades (documento 02)</t>
        </is>
      </c>
    </row>
    <row r="20" ht="15" customHeight="1" s="39">
      <c r="A20" s="43" t="inlineStr">
        <is>
          <t>Etiquetas del doypack de 6 (frente y reverso, con código único de la app)</t>
        </is>
      </c>
      <c r="B20" s="65" t="n">
        <v>0.76</v>
      </c>
      <c r="C20" s="43" t="inlineStr">
        <is>
          <t>S/ por envase</t>
        </is>
      </c>
      <c r="D20" s="43" t="inlineStr">
        <is>
          <t>2 x S/0.36, 1,000 unidades (documento 02), más S/0.04 del código único de la app</t>
        </is>
      </c>
    </row>
    <row r="21" ht="15" customHeight="1" s="39">
      <c r="A21" s="43" t="inlineStr">
        <is>
          <t>Doypack kraft para 12 unidades</t>
        </is>
      </c>
      <c r="B21" s="66" t="n">
        <v>0.7</v>
      </c>
      <c r="C21" s="43" t="inlineStr">
        <is>
          <t>S/ por envase</t>
        </is>
      </c>
      <c r="D21" s="43" t="inlineStr">
        <is>
          <t>[HIPÓTESIS] Talla mayor; cotizar</t>
        </is>
      </c>
    </row>
    <row r="22" ht="15" customHeight="1" s="39">
      <c r="A22" s="43" t="inlineStr">
        <is>
          <t>Etiquetas del doypack de 12 (frente y reverso, con código único de la app)</t>
        </is>
      </c>
      <c r="B22" s="65" t="n">
        <v>0.76</v>
      </c>
      <c r="C22" s="43" t="inlineStr">
        <is>
          <t>S/ por envase</t>
        </is>
      </c>
      <c r="D22" s="43" t="inlineStr">
        <is>
          <t>Mismo sticker que el pack de 6</t>
        </is>
      </c>
    </row>
    <row r="23" ht="15" customHeight="1" s="39">
      <c r="A23" s="43" t="inlineStr">
        <is>
          <t>Caja kraft para 3 sabores (lleva la etiqueta individual con el código de la app)</t>
        </is>
      </c>
      <c r="B23" s="66" t="n">
        <v>0.45</v>
      </c>
      <c r="C23" s="43" t="inlineStr">
        <is>
          <t>S/ por envase</t>
        </is>
      </c>
      <c r="D23" s="43" t="inlineStr">
        <is>
          <t>[HIPÓTESIS] Caja plegable kraft de 3 unidades, 1,000 unidades; cotizar con la imprenta del doypack</t>
        </is>
      </c>
    </row>
    <row r="24" ht="15" customHeight="1" s="39">
      <c r="A24" s="59" t="inlineStr">
        <is>
          <t>3. Impuestos y comisiones</t>
        </is>
      </c>
      <c r="B24" s="60" t="n"/>
      <c r="C24" s="60" t="n"/>
      <c r="D24" s="60" t="n"/>
    </row>
    <row r="25" ht="15" customHeight="1" s="39">
      <c r="A25" s="44" t="inlineStr">
        <is>
          <t>Concepto</t>
        </is>
      </c>
      <c r="B25" s="44" t="inlineStr">
        <is>
          <t>Valor</t>
        </is>
      </c>
      <c r="C25" s="44" t="inlineStr">
        <is>
          <t>Unidad</t>
        </is>
      </c>
      <c r="D25" s="44" t="inlineStr">
        <is>
          <t>Fuente o nota</t>
        </is>
      </c>
    </row>
    <row r="26" ht="15" customHeight="1" s="39">
      <c r="A26" s="43" t="inlineStr">
        <is>
          <t>IGV</t>
        </is>
      </c>
      <c r="B26" s="64" t="n">
        <v>0.18</v>
      </c>
      <c r="C26" s="43" t="inlineStr">
        <is>
          <t>%</t>
        </is>
      </c>
      <c r="D26" s="43" t="inlineStr">
        <is>
          <t>SUNAT</t>
        </is>
      </c>
    </row>
    <row r="27" ht="15" customHeight="1" s="39">
      <c r="A27" s="43" t="inlineStr">
        <is>
          <t>Pasarela de pagos (Yape, Plin, tarjeta) sobre el precio con IGV</t>
        </is>
      </c>
      <c r="B27" s="64" t="n">
        <v>0.03</v>
      </c>
      <c r="C27" s="43" t="inlineStr">
        <is>
          <t>%</t>
        </is>
      </c>
      <c r="D27" s="43" t="inlineStr">
        <is>
          <t>Mezcla Culqi 3.44-3.99 % con 15 % de transferencias sin costo (documento 05)</t>
        </is>
      </c>
    </row>
    <row r="28" ht="15" customHeight="1" s="39">
      <c r="A28" s="43" t="inlineStr">
        <is>
          <t>Renta RMT, pago a cuenta mensual sobre la venta sin IGV</t>
        </is>
      </c>
      <c r="B28" s="64" t="n">
        <v>0.01</v>
      </c>
      <c r="C28" s="43" t="inlineStr">
        <is>
          <t>%</t>
        </is>
      </c>
      <c r="D28" s="43" t="inlineStr">
        <is>
          <t>Régimen MYPE Tributario (documento 05)</t>
        </is>
      </c>
    </row>
    <row r="30" ht="15" customHeight="1" s="39">
      <c r="A30" s="59" t="inlineStr">
        <is>
          <t>4. Costo variable de canal por unidad (sin IGV; el alquiler, el personal y las ferias van en la sección 7)</t>
        </is>
      </c>
      <c r="B30" s="60" t="n"/>
      <c r="C30" s="60" t="n"/>
      <c r="D30" s="60" t="n"/>
    </row>
    <row r="31" ht="26.85" customHeight="1" s="39">
      <c r="A31" s="44" t="inlineStr">
        <is>
          <t>Canal</t>
        </is>
      </c>
      <c r="B31" s="44" t="inlineStr">
        <is>
          <t>Logística por unidad (S/)</t>
        </is>
      </c>
      <c r="C31" s="44" t="inlineStr">
        <is>
          <t>¿Paga pasarela? (1 = sí, 0 = no)</t>
        </is>
      </c>
      <c r="D31" s="44" t="inlineStr">
        <is>
          <t>Nota</t>
        </is>
      </c>
    </row>
    <row r="32" ht="15" customHeight="1" s="39">
      <c r="A32" s="43" t="inlineStr">
        <is>
          <t>Stands y carritos (malls y supermercados)</t>
        </is>
      </c>
      <c r="B32" s="65" t="n">
        <v>0.27</v>
      </c>
      <c r="C32" s="67" t="n">
        <v>1</v>
      </c>
      <c r="D32" s="43" t="inlineStr">
        <is>
          <t>Degustación: 1 brownie regalado por cada 10 vendidos (S/0.17) + movilidad y bolsas (S/0.10) [HIPÓTESIS]</t>
        </is>
      </c>
    </row>
    <row r="33" ht="15" customHeight="1" s="39">
      <c r="A33" s="43" t="inlineStr">
        <is>
          <t>Ferias y eventos</t>
        </is>
      </c>
      <c r="B33" s="65" t="n">
        <v>0.27</v>
      </c>
      <c r="C33" s="67" t="n">
        <v>1</v>
      </c>
      <c r="D33" s="43" t="inlineStr">
        <is>
          <t>Igual que el stand; el costo de la feria va aparte (sección 7)</t>
        </is>
      </c>
    </row>
    <row r="34" ht="15" customHeight="1" s="39">
      <c r="A34" s="43" t="inlineStr">
        <is>
          <t>Recompra por WhatsApp e Instagram (delivery)</t>
        </is>
      </c>
      <c r="B34" s="65" t="n">
        <v>0.5</v>
      </c>
      <c r="C34" s="67" t="n">
        <v>1</v>
      </c>
      <c r="D34" s="43" t="inlineStr">
        <is>
          <t>Delivery agrupado: entregas 2 días por semana por zona (unos S/6 por pedido de 12 unidades con 3 a 4 pedidos por ruta) y recojo gratis en el stand; gratis desde 2 packs (antes S/0.80 con delivery suelto de S/9.50)</t>
        </is>
      </c>
    </row>
    <row r="35" ht="15" customHeight="1" s="39">
      <c r="A35" s="43" t="inlineStr">
        <is>
          <t>Colegios (quiosco)</t>
        </is>
      </c>
      <c r="B35" s="65" t="n">
        <v>0.1</v>
      </c>
      <c r="C35" s="67" t="n">
        <v>0</v>
      </c>
      <c r="D35" s="43" t="inlineStr">
        <is>
          <t>[HIPÓTESIS] Ruta semanal al colegio; cobro por factura</t>
        </is>
      </c>
    </row>
    <row r="36" ht="15" customHeight="1" s="39">
      <c r="A36" s="43" t="inlineStr">
        <is>
          <t>Tiendas naturistas</t>
        </is>
      </c>
      <c r="B36" s="65" t="n">
        <v>0.15</v>
      </c>
      <c r="C36" s="67" t="n">
        <v>0</v>
      </c>
      <c r="D36" s="43" t="inlineStr">
        <is>
          <t>[HIPÓTESIS] Reposición quincenal; cobro por factura</t>
        </is>
      </c>
    </row>
    <row r="38" ht="15" customHeight="1" s="39">
      <c r="A38" s="59" t="inlineStr">
        <is>
          <t>5. Precio que cobra AndiBite por presentación y canal (S/ con IGV)</t>
        </is>
      </c>
      <c r="B38" s="60" t="n"/>
      <c r="C38" s="60" t="n"/>
      <c r="D38" s="60" t="n"/>
      <c r="E38" s="60" t="n"/>
      <c r="F38" s="60" t="n"/>
    </row>
    <row r="39" ht="26.85" customHeight="1" s="39">
      <c r="A39" s="44" t="inlineStr">
        <is>
          <t>Canal</t>
        </is>
      </c>
      <c r="B39" s="44" t="inlineStr">
        <is>
          <t>Unidad individual</t>
        </is>
      </c>
      <c r="C39" s="44" t="inlineStr">
        <is>
          <t>Pack de 6</t>
        </is>
      </c>
      <c r="D39" s="44" t="inlineStr">
        <is>
          <t>Pack de 12</t>
        </is>
      </c>
      <c r="E39" s="44" t="inlineStr">
        <is>
          <t>Caja de 3 sabores</t>
        </is>
      </c>
      <c r="F39" s="44" t="inlineStr">
        <is>
          <t>Nota</t>
        </is>
      </c>
    </row>
    <row r="40" ht="15" customHeight="1" s="39">
      <c r="A40" s="43" t="inlineStr">
        <is>
          <t>Stands y carritos (malls y supermercados)</t>
        </is>
      </c>
      <c r="B40" s="68" t="n">
        <v>6</v>
      </c>
      <c r="C40" s="68" t="n">
        <v>27.9</v>
      </c>
      <c r="D40" s="68" t="n">
        <v>51.9</v>
      </c>
      <c r="E40" s="68" t="n">
        <v>16.5</v>
      </c>
      <c r="F40" s="43" t="inlineStr">
        <is>
          <t>Precio de lista en físico. La unidad suelta (S/6.00) es la compra de prueba; la caja de 3 sabores (S/16.50, S/5.50 por brownie) es para llevar a casa; el pack de 6 (S/4.65 por brownie) es la compra conveniente. Incluye hierro medido por lote y la app Andi, Misión Hierro</t>
        </is>
      </c>
    </row>
    <row r="41" ht="15" customHeight="1" s="39">
      <c r="A41" s="43" t="inlineStr">
        <is>
          <t>Ferias y eventos</t>
        </is>
      </c>
      <c r="B41" s="68" t="n">
        <v>6</v>
      </c>
      <c r="C41" s="68" t="n">
        <v>27.9</v>
      </c>
      <c r="D41" s="68" t="n">
        <v>51.9</v>
      </c>
      <c r="E41" s="68" t="n">
        <v>16.5</v>
      </c>
      <c r="F41" s="43" t="inlineStr">
        <is>
          <t>Mismo precio que en el stand</t>
        </is>
      </c>
    </row>
    <row r="42" ht="15" customHeight="1" s="39">
      <c r="A42" s="43" t="inlineStr">
        <is>
          <t>Recompra por WhatsApp e Instagram (delivery)</t>
        </is>
      </c>
      <c r="B42" s="68" t="n">
        <v>0</v>
      </c>
      <c r="C42" s="68" t="n">
        <v>26.9</v>
      </c>
      <c r="D42" s="68" t="n">
        <v>49.9</v>
      </c>
      <c r="E42" s="68" t="n">
        <v>12</v>
      </c>
      <c r="F42" s="43" t="inlineStr">
        <is>
          <t>S/4.48 por brownie en el pack de 6 (Fika S/4.00 y Mamalama S/4.10 por 20 g no miden su hierro ni traen app). Por WhatsApp no se vende la unidad suelta: la caja de 3 sabores cuesta S/12.00</t>
        </is>
      </c>
    </row>
    <row r="43" ht="15" customHeight="1" s="39">
      <c r="A43" s="43" t="inlineStr">
        <is>
          <t>Colegios (quiosco)</t>
        </is>
      </c>
      <c r="B43" s="68" t="n">
        <v>3.2</v>
      </c>
      <c r="C43" s="68" t="n">
        <v>0</v>
      </c>
      <c r="D43" s="68" t="n">
        <v>0</v>
      </c>
      <c r="E43" s="68" t="n">
        <v>0</v>
      </c>
      <c r="F43" s="43" t="inlineStr">
        <is>
          <t>El alumno paga S/4.00; el concesionario se queda 20 % (antes 25 %, S/3.00)</t>
        </is>
      </c>
    </row>
    <row r="44" ht="15" customHeight="1" s="39">
      <c r="A44" s="43" t="inlineStr">
        <is>
          <t>Tiendas naturistas</t>
        </is>
      </c>
      <c r="B44" s="68" t="n">
        <v>0</v>
      </c>
      <c r="C44" s="68" t="n">
        <v>18.5</v>
      </c>
      <c r="D44" s="68" t="n">
        <v>0</v>
      </c>
      <c r="E44" s="68" t="n">
        <v>0</v>
      </c>
      <c r="F44" s="43" t="inlineStr">
        <is>
          <t>AndiBite cobra S/18.50 a la tienda y el anaquel queda en S/28.90: la tienda gana S/10.40 por pack (36 %; antes S/17.34, 40 %)</t>
        </is>
      </c>
    </row>
    <row r="46" ht="15" customHeight="1" s="39">
      <c r="A46" s="59" t="inlineStr">
        <is>
          <t>6. Mezcla de presentaciones por canal (% de las unidades que vende cada canal)</t>
        </is>
      </c>
      <c r="B46" s="60" t="n"/>
      <c r="C46" s="60" t="n"/>
      <c r="D46" s="60" t="n"/>
      <c r="E46" s="60" t="n"/>
      <c r="F46" s="60" t="n"/>
    </row>
    <row r="47" ht="26.85" customHeight="1" s="39">
      <c r="A47" s="44" t="inlineStr">
        <is>
          <t>Canal</t>
        </is>
      </c>
      <c r="B47" s="44" t="inlineStr">
        <is>
          <t>Unidad individual</t>
        </is>
      </c>
      <c r="C47" s="44" t="inlineStr">
        <is>
          <t>Pack de 6</t>
        </is>
      </c>
      <c r="D47" s="44" t="inlineStr">
        <is>
          <t>Pack de 12</t>
        </is>
      </c>
      <c r="E47" s="44" t="inlineStr">
        <is>
          <t>Caja de 3 sabores</t>
        </is>
      </c>
      <c r="F47" s="44" t="inlineStr">
        <is>
          <t>Suma (debe ser 100 %)</t>
        </is>
      </c>
    </row>
    <row r="48" ht="15" customHeight="1" s="39">
      <c r="A48" s="43" t="inlineStr">
        <is>
          <t>Stands y carritos (malls y supermercados)</t>
        </is>
      </c>
      <c r="B48" s="69" t="n">
        <v>0.5</v>
      </c>
      <c r="C48" s="69" t="n">
        <v>0.35</v>
      </c>
      <c r="D48" s="69" t="n">
        <v>0.05</v>
      </c>
      <c r="E48" s="69" t="n">
        <v>0.1</v>
      </c>
      <c r="F48" s="51">
        <f>SUM(B48:E48)</f>
        <v/>
      </c>
    </row>
    <row r="49" ht="15" customHeight="1" s="39">
      <c r="A49" s="43" t="inlineStr">
        <is>
          <t>Ferias y eventos</t>
        </is>
      </c>
      <c r="B49" s="69" t="n">
        <v>0.6</v>
      </c>
      <c r="C49" s="69" t="n">
        <v>0.3</v>
      </c>
      <c r="D49" s="69" t="n">
        <v>0</v>
      </c>
      <c r="E49" s="69" t="n">
        <v>0.1</v>
      </c>
      <c r="F49" s="51">
        <f>SUM(B49:E49)</f>
        <v/>
      </c>
    </row>
    <row r="50" ht="15" customHeight="1" s="39">
      <c r="A50" s="43" t="inlineStr">
        <is>
          <t>Recompra por WhatsApp e Instagram (delivery)</t>
        </is>
      </c>
      <c r="B50" s="69" t="n">
        <v>0</v>
      </c>
      <c r="C50" s="69" t="n">
        <v>0.6</v>
      </c>
      <c r="D50" s="69" t="n">
        <v>0.3</v>
      </c>
      <c r="E50" s="69" t="n">
        <v>0.1</v>
      </c>
      <c r="F50" s="51">
        <f>SUM(B50:E50)</f>
        <v/>
      </c>
    </row>
    <row r="51" ht="15" customHeight="1" s="39">
      <c r="A51" s="43" t="inlineStr">
        <is>
          <t>Colegios (quiosco)</t>
        </is>
      </c>
      <c r="B51" s="69" t="n">
        <v>1</v>
      </c>
      <c r="C51" s="69" t="n">
        <v>0</v>
      </c>
      <c r="D51" s="69" t="n">
        <v>0</v>
      </c>
      <c r="E51" s="69" t="n">
        <v>0</v>
      </c>
      <c r="F51" s="51">
        <f>SUM(B51:E51)</f>
        <v/>
      </c>
    </row>
    <row r="52" ht="15" customHeight="1" s="39">
      <c r="A52" s="43" t="inlineStr">
        <is>
          <t>Tiendas naturistas</t>
        </is>
      </c>
      <c r="B52" s="69" t="n">
        <v>0</v>
      </c>
      <c r="C52" s="69" t="n">
        <v>1</v>
      </c>
      <c r="D52" s="69" t="n">
        <v>0</v>
      </c>
      <c r="E52" s="69" t="n">
        <v>0</v>
      </c>
      <c r="F52" s="51">
        <f>SUM(B52:E52)</f>
        <v/>
      </c>
    </row>
    <row r="53" ht="15" customHeight="1" s="39">
      <c r="A53" s="43" t="inlineStr">
        <is>
          <t>Stand: 5 de cada 10 brownies se venden sueltos para probar en el momento y 1 de cada 10 sale en caja de 3 sabores. WhatsApp: 60/30/10 del documento 05 (la caja de 3 reemplaza a la unidad). Resto: [HIPÓTESIS] según cómo compra cada canal.</t>
        </is>
      </c>
    </row>
    <row r="55" ht="15" customHeight="1" s="39">
      <c r="A55" s="59" t="inlineStr">
        <is>
          <t>7. Stands, carritos y ferias</t>
        </is>
      </c>
      <c r="B55" s="60" t="n"/>
      <c r="C55" s="60" t="n"/>
      <c r="D55" s="60" t="n"/>
    </row>
    <row r="56" ht="15" customHeight="1" s="39">
      <c r="A56" s="44" t="inlineStr">
        <is>
          <t>Concepto</t>
        </is>
      </c>
      <c r="B56" s="44" t="inlineStr">
        <is>
          <t>Valor</t>
        </is>
      </c>
      <c r="C56" s="44" t="inlineStr">
        <is>
          <t>Unidad</t>
        </is>
      </c>
      <c r="D56" s="44" t="inlineStr">
        <is>
          <t>Fuente o nota</t>
        </is>
      </c>
    </row>
    <row r="57" ht="15" customHeight="1" s="39">
      <c r="A57" s="43" t="inlineStr">
        <is>
          <t>Espacio para el carrito o stand de fin de semana en mall o supermercado, por punto al mes</t>
        </is>
      </c>
      <c r="B57" s="68" t="n">
        <v>600</v>
      </c>
      <c r="C57" s="43" t="inlineStr">
        <is>
          <t>S/ al mes</t>
        </is>
      </c>
      <c r="D57" s="43" t="inlineStr">
        <is>
          <t>Módulo de 2 x 2 m en malls desde S/500 al mes (Gestión, 15-sep-2023); la entrada de un supermercado de Lima Top cuesta algo más (documento 08)</t>
        </is>
      </c>
    </row>
    <row r="58" ht="15" customHeight="1" s="39">
      <c r="A58" s="43" t="inlineStr">
        <is>
          <t>Pago a vendedor(a) de stand por día</t>
        </is>
      </c>
      <c r="B58" s="68" t="n">
        <v>90</v>
      </c>
      <c r="C58" s="43" t="inlineStr">
        <is>
          <t>S/ por día</t>
        </is>
      </c>
      <c r="D58" s="43" t="inlineStr">
        <is>
          <t>Pago de impulsadoras en Lima: S/50 a 90 por día de fin de semana (Computrabajo, documento 08)</t>
        </is>
      </c>
    </row>
    <row r="59" ht="15" customHeight="1" s="39">
      <c r="A59" s="43" t="inlineStr">
        <is>
          <t>Puntos de venta que atienden los socios sin pago</t>
        </is>
      </c>
      <c r="B59" s="67" t="n">
        <v>0</v>
      </c>
      <c r="C59" s="43" t="inlineStr">
        <is>
          <t>puntos</t>
        </is>
      </c>
      <c r="D59" s="43" t="inlineStr">
        <is>
          <t>Todos los puntos de venta llevan un(a) vendedor(a) pagado(a); los socios supervisan</t>
        </is>
      </c>
    </row>
    <row r="60" ht="15" customHeight="1" s="39">
      <c r="A60" s="43" t="inlineStr">
        <is>
          <t>Stand en feria pagada (2 a 3 días)</t>
        </is>
      </c>
      <c r="B60" s="68" t="n">
        <v>1800</v>
      </c>
      <c r="C60" s="43" t="inlineStr">
        <is>
          <t>S/ por feria</t>
        </is>
      </c>
      <c r="D60" s="43" t="inlineStr">
        <is>
          <t>Campaña escolar (febrero) y Día del Niño Peruano (segundo domingo de abril). No hay tarifa publicada de una feria del Día del Niño; ferias parecidas de Lima: La Feria de Barranco S/1,650 a 2,000 por 2 días; Expo Eventos S/1,800 + IGV por un stand de 3 x 2 m; feria del Parque de las Leyendas S/600 por 2 x 2 m (documento 08)</t>
        </is>
      </c>
    </row>
    <row r="61" ht="15" customHeight="1" s="39">
      <c r="A61" s="43" t="inlineStr">
        <is>
          <t>Días de vendedor(a) por feria pagada</t>
        </is>
      </c>
      <c r="B61" s="67" t="n">
        <v>3</v>
      </c>
      <c r="C61" s="43" t="inlineStr">
        <is>
          <t>días</t>
        </is>
      </c>
      <c r="D61" s="43" t="inlineStr">
        <is>
          <t>Una feria dura 2 a 3 días; cada día se paga a S/90 (fila 58)</t>
        </is>
      </c>
    </row>
    <row r="62" ht="15" customHeight="1" s="39">
      <c r="A62" s="43" t="inlineStr">
        <is>
          <t>Brownies vendidos por feria pagada</t>
        </is>
      </c>
      <c r="B62" s="70" t="n">
        <v>700</v>
      </c>
      <c r="C62" s="43" t="inlineStr">
        <is>
          <t>unidades</t>
        </is>
      </c>
      <c r="D62" s="43" t="inlineStr">
        <is>
          <t>[HIPÓTESIS] Una mype vende unos S/3,000 por feria de PRODUCE (unos 625 brownies)</t>
        </is>
      </c>
    </row>
    <row r="63" ht="15" customHeight="1" s="39">
      <c r="A63" s="43" t="inlineStr">
        <is>
          <t>Brownies por evento sin costo (kermés, cumpleaños, feria saludable o municipal)</t>
        </is>
      </c>
      <c r="B63" s="70" t="n">
        <v>150</v>
      </c>
      <c r="C63" s="43" t="inlineStr">
        <is>
          <t>unidades</t>
        </is>
      </c>
      <c r="D63" s="43" t="inlineStr">
        <is>
          <t>[HIPÓTESIS]</t>
        </is>
      </c>
    </row>
    <row r="64" ht="15" customHeight="1" s="39">
      <c r="A64" s="43" t="inlineStr">
        <is>
          <t>Aporte al organizador por evento sin costo (rifa, premio o porcentaje de la venta)</t>
        </is>
      </c>
      <c r="B64" s="68" t="n">
        <v>70</v>
      </c>
      <c r="C64" s="43" t="inlineStr">
        <is>
          <t>S/ por evento</t>
        </is>
      </c>
      <c r="D64" s="43" t="inlineStr">
        <is>
          <t>Las kermeses y ferias municipales o de PRODUCE no cobran stand, pero se dona un aporte; al evento también va un(a) vendedor(a) pagado(a) 1 día (fila 58). Las ferias saludables se tratan así hasta tener su tarifa</t>
        </is>
      </c>
    </row>
    <row r="65" ht="15" customHeight="1" s="39">
      <c r="A65" s="43" t="inlineStr">
        <is>
          <t>Lo vendido en físico que vuelve a comprarse por WhatsApp el mes siguiente</t>
        </is>
      </c>
      <c r="B65" s="69" t="n">
        <v>0.35</v>
      </c>
      <c r="C65" s="43" t="inlineStr">
        <is>
          <t>% de las unidades</t>
        </is>
      </c>
      <c r="D65" s="43" t="inlineStr">
        <is>
          <t>[HIPÓTESIS] Recompra con recordatorio de la app y de WhatsApp; sin suscripción</t>
        </is>
      </c>
    </row>
    <row r="66" ht="15" customHeight="1" s="39">
      <c r="A66" s="43" t="inlineStr">
        <is>
          <t>Pedidos por WhatsApp del primer mes (lista de espera)</t>
        </is>
      </c>
      <c r="B66" s="71" t="n">
        <v>150</v>
      </c>
      <c r="C66" s="43" t="inlineStr">
        <is>
          <t>unidades</t>
        </is>
      </c>
      <c r="D66" s="43" t="inlineStr">
        <is>
          <t>[HIPÓTESIS]</t>
        </is>
      </c>
    </row>
    <row r="68" ht="15" customHeight="1" s="39">
      <c r="A68" s="59" t="inlineStr">
        <is>
          <t>8. Costos fijos mensuales (S/ sin IGV)</t>
        </is>
      </c>
      <c r="B68" s="60" t="n"/>
      <c r="C68" s="60" t="n"/>
      <c r="D68" s="60" t="n"/>
    </row>
    <row r="69" ht="15" customHeight="1" s="39">
      <c r="A69" s="44" t="inlineStr">
        <is>
          <t>Concepto</t>
        </is>
      </c>
      <c r="B69" s="44" t="inlineStr">
        <is>
          <t>S/ al mes</t>
        </is>
      </c>
      <c r="C69" s="44" t="n"/>
      <c r="D69" s="44" t="inlineStr">
        <is>
          <t>Fuente o nota</t>
        </is>
      </c>
    </row>
    <row r="70" ht="15" customHeight="1" s="39">
      <c r="A70" s="43" t="inlineStr">
        <is>
          <t>Administración: contador, software de facturación, web, teléfono, movilidad, GS1, banco, uniformes del personal de stand y app (servidor, base de datos y mantenimiento)</t>
        </is>
      </c>
      <c r="B70" s="68" t="n">
        <v>995</v>
      </c>
      <c r="D70" s="43" t="inlineStr">
        <is>
          <t>Documento 05, sección 4.1 (S/700) más S/45 al mes de uniformes y reposición del material de stand, más S/250 al mes de la app (Cloud Run y Firestore de Google, envío de recordatorios y mantenimiento de un desarrollador). El carné de sanidad ya no se paga: es requisito al contratar a vendedores y coordinador(a)</t>
        </is>
      </c>
    </row>
    <row r="71" ht="15" customHeight="1" s="39">
      <c r="A71" s="43" t="inlineStr">
        <is>
          <t>Coordinador(a) comercial y de operaciones (planilla, medio tiempo de 4 horas)</t>
        </is>
      </c>
      <c r="B71" s="68" t="n">
        <v>709</v>
      </c>
      <c r="D71" s="43" t="inlineStr">
        <is>
          <t>Media remuneración mínima de 2027 (S/1,300 según el DS 015-2026-TR) más 9 % de EsSalud; microempresa en el REMYPE. Atiende WhatsApp, pedidos y despacho, y lleva el stock a los stands</t>
        </is>
      </c>
    </row>
    <row r="72" ht="15" customHeight="1" s="39">
      <c r="A72" s="43" t="inlineStr">
        <is>
          <t>Marketing: pauta digital, degustaciones y material de stand (promedio del año)</t>
        </is>
      </c>
      <c r="B72" s="68" t="n">
        <v>700</v>
      </c>
      <c r="D72" s="43" t="inlineStr">
        <is>
          <t>S/700 al mes = S/8,400 en el año. Desde el 19-oct-2026: pauta S/5,050 (S/4,050 en Instagram y Facebook y S/1,000 en YouTube), degustaciones extra S/1,750 y material S/1,600. El detalle mes a mes está en Presupuesto-marketing-AndiBite.xlsx</t>
        </is>
      </c>
    </row>
    <row r="73" ht="15" customHeight="1" s="39">
      <c r="A73" s="43" t="inlineStr">
        <is>
          <t>Papás y mamás embajadores: premio por recomendar con su código en el chat del colegio</t>
        </is>
      </c>
      <c r="B73" s="68" t="n">
        <v>200</v>
      </c>
      <c r="D73" s="43" t="inlineStr">
        <is>
          <t>Un pack de 6 por cada familia nueva que llega con su código (unas 20 al mes); premia al papá o la mamá, nunca al niño (Ley 30021)</t>
        </is>
      </c>
    </row>
    <row r="74" ht="15" customHeight="1" s="39">
      <c r="A74" s="43" t="inlineStr">
        <is>
          <t>Depreciación de equipos y carrito (36 meses)</t>
        </is>
      </c>
      <c r="B74" s="45">
        <f>Inversion!B37/36</f>
        <v/>
      </c>
      <c r="D74" s="43" t="inlineStr">
        <is>
          <t>Hoja Inversion</t>
        </is>
      </c>
    </row>
    <row r="75" ht="15" customHeight="1" s="39">
      <c r="A75" s="49" t="inlineStr">
        <is>
          <t>Total costos fijos al mes</t>
        </is>
      </c>
      <c r="B75" s="72">
        <f>SUM(B70:B74)</f>
        <v/>
      </c>
    </row>
    <row r="77" ht="15" customHeight="1" s="39">
      <c r="A77" s="59" t="inlineStr">
        <is>
          <t>9. Mezcla de sabores (para planear compras y producción)</t>
        </is>
      </c>
      <c r="B77" s="60" t="n"/>
      <c r="C77" s="60" t="n"/>
      <c r="D77" s="60" t="n"/>
    </row>
    <row r="78" ht="26.85" customHeight="1" s="39">
      <c r="A78" s="44" t="inlineStr">
        <is>
          <t>Sabor</t>
        </is>
      </c>
      <c r="B78" s="44" t="inlineStr">
        <is>
          <t>% de las unidades</t>
        </is>
      </c>
      <c r="C78" s="44" t="n"/>
      <c r="D78" s="44" t="inlineStr">
        <is>
          <t>Nota</t>
        </is>
      </c>
    </row>
    <row r="79" ht="15" customHeight="1" s="39">
      <c r="A79" s="43" t="inlineStr">
        <is>
          <t>Chispa (choco clásico con chispas)</t>
        </is>
      </c>
      <c r="B79" s="64" t="n">
        <v>0.4</v>
      </c>
      <c r="D79" s="43" t="inlineStr">
        <is>
          <t>[HIPÓTESIS] Ajustar con el focus 2</t>
        </is>
      </c>
    </row>
    <row r="80" ht="15" customHeight="1" s="39">
      <c r="A80" s="43" t="inlineStr">
        <is>
          <t>Andi (choco, plátano, canela y cañihua)</t>
        </is>
      </c>
      <c r="B80" s="64" t="n">
        <v>0.35</v>
      </c>
      <c r="D80" s="43" t="n"/>
    </row>
    <row r="81" ht="15" customHeight="1" s="39">
      <c r="A81" s="43" t="inlineStr">
        <is>
          <t>Lúcu (choco y lúcuma)</t>
        </is>
      </c>
      <c r="B81" s="64" t="n">
        <v>0.25</v>
      </c>
      <c r="D81" s="43" t="n"/>
    </row>
    <row r="82" ht="15" customHeight="1" s="39">
      <c r="A82" s="49" t="inlineStr">
        <is>
          <t>Suma</t>
        </is>
      </c>
      <c r="B82" s="51">
        <f>SUM(B79:B81)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38" min="1" max="1"/>
    <col width="24" customWidth="1" style="38" min="2" max="6"/>
  </cols>
  <sheetData>
    <row r="1" ht="17.35" customHeight="1" s="39">
      <c r="A1" s="40" t="inlineStr">
        <is>
          <t>Costo de producción por presentación (sin IGV)</t>
        </is>
      </c>
    </row>
    <row r="2" ht="15" customHeight="1" s="39">
      <c r="A2" s="43" t="inlineStr">
        <is>
          <t>Todas las presentaciones llevan cada brownie en una bolsita individual: sin etiqueta dentro del doypack (pack de 6 y de 12) o de la caja kraft (3 sabores), que llevan la etiqueta; la unidad individual lleva bolsita con etiqueta completa.</t>
        </is>
      </c>
    </row>
    <row r="4" ht="42" customHeight="1" s="39">
      <c r="A4" s="44" t="inlineStr">
        <is>
          <t>Concepto</t>
        </is>
      </c>
      <c r="B4" s="44" t="inlineStr">
        <is>
          <t>Unidad individual</t>
        </is>
      </c>
      <c r="C4" s="44" t="inlineStr">
        <is>
          <t>Pack de 6 (con bolsitas)</t>
        </is>
      </c>
      <c r="D4" s="44" t="n"/>
      <c r="E4" s="44" t="inlineStr">
        <is>
          <t>Pack de 12 (con bolsitas)</t>
        </is>
      </c>
      <c r="F4" s="44" t="inlineStr">
        <is>
          <t>Caja de 3 sabores (con bolsitas)</t>
        </is>
      </c>
    </row>
    <row r="5" ht="15" customHeight="1" s="39">
      <c r="A5" s="43" t="inlineStr">
        <is>
          <t>Unidades por presentación</t>
        </is>
      </c>
      <c r="B5" s="67" t="n">
        <v>1</v>
      </c>
      <c r="C5" s="67" t="n">
        <v>6</v>
      </c>
      <c r="D5" s="67" t="n"/>
      <c r="E5" s="67" t="n">
        <v>12</v>
      </c>
      <c r="F5" s="67" t="n">
        <v>3</v>
      </c>
    </row>
    <row r="6" ht="15" customHeight="1" s="39">
      <c r="A6" s="43" t="inlineStr">
        <is>
          <t>Insumos</t>
        </is>
      </c>
      <c r="B6" s="45">
        <f>B5*Supuestos!$B$6</f>
        <v/>
      </c>
      <c r="C6" s="45">
        <f>C5*Supuestos!$B$6</f>
        <v/>
      </c>
      <c r="D6" s="45" t="n"/>
      <c r="E6" s="45">
        <f>E5*Supuestos!$B$6</f>
        <v/>
      </c>
      <c r="F6" s="45">
        <f>F5*Supuestos!$B$6</f>
        <v/>
      </c>
    </row>
    <row r="7" ht="15" customHeight="1" s="39">
      <c r="A7" s="43" t="inlineStr">
        <is>
          <t>Maquila</t>
        </is>
      </c>
      <c r="B7" s="45">
        <f>B5*Supuestos!$B$7</f>
        <v/>
      </c>
      <c r="C7" s="45">
        <f>C5*Supuestos!$B$7</f>
        <v/>
      </c>
      <c r="D7" s="45" t="n"/>
      <c r="E7" s="45">
        <f>E5*Supuestos!$B$7</f>
        <v/>
      </c>
      <c r="F7" s="45">
        <f>F5*Supuestos!$B$7</f>
        <v/>
      </c>
    </row>
    <row r="8" ht="15" customHeight="1" s="39">
      <c r="A8" s="43" t="inlineStr">
        <is>
          <t>Bolsita individual (flow pack)</t>
        </is>
      </c>
      <c r="B8" s="45">
        <f>B5*Supuestos!$B$9</f>
        <v/>
      </c>
      <c r="C8" s="45">
        <f>C5*Supuestos!$B$9</f>
        <v/>
      </c>
      <c r="D8" s="52" t="n"/>
      <c r="E8" s="45">
        <f>E5*Supuestos!$B$9</f>
        <v/>
      </c>
      <c r="F8" s="45">
        <f>F5*Supuestos!$B$9</f>
        <v/>
      </c>
    </row>
    <row r="9" ht="15" customHeight="1" s="39">
      <c r="A9" s="43" t="inlineStr">
        <is>
          <t>Etiqueta individual (con código de la app)</t>
        </is>
      </c>
      <c r="B9" s="45">
        <f>Supuestos!$B$10</f>
        <v/>
      </c>
      <c r="C9" s="52" t="n">
        <v>0</v>
      </c>
      <c r="D9" s="52" t="n"/>
      <c r="E9" s="52" t="n">
        <v>0</v>
      </c>
      <c r="F9" s="45">
        <f>Supuestos!$B$10</f>
        <v/>
      </c>
    </row>
    <row r="10" ht="15" customHeight="1" s="39">
      <c r="A10" s="43" t="n"/>
      <c r="B10" s="52" t="n"/>
      <c r="C10" s="52" t="n"/>
      <c r="D10" s="45" t="n"/>
      <c r="E10" s="52" t="n"/>
      <c r="F10" s="52" t="n"/>
    </row>
    <row r="11" ht="15" customHeight="1" s="39">
      <c r="A11" s="43" t="inlineStr">
        <is>
          <t>Doypack o caja</t>
        </is>
      </c>
      <c r="B11" s="52" t="n">
        <v>0</v>
      </c>
      <c r="C11" s="45">
        <f>Supuestos!$B$19</f>
        <v/>
      </c>
      <c r="D11" s="45" t="n"/>
      <c r="E11" s="45">
        <f>Supuestos!$B$21</f>
        <v/>
      </c>
      <c r="F11" s="45">
        <f>Supuestos!$B$23</f>
        <v/>
      </c>
    </row>
    <row r="12" ht="15" customHeight="1" s="39">
      <c r="A12" s="43" t="inlineStr">
        <is>
          <t>Etiquetas del doypack</t>
        </is>
      </c>
      <c r="B12" s="52" t="n">
        <v>0</v>
      </c>
      <c r="C12" s="45">
        <f>Supuestos!$B$20</f>
        <v/>
      </c>
      <c r="D12" s="45" t="n"/>
      <c r="E12" s="45">
        <f>Supuestos!$B$22</f>
        <v/>
      </c>
      <c r="F12" s="52" t="n">
        <v>0</v>
      </c>
    </row>
    <row r="13" ht="15" customHeight="1" s="39">
      <c r="A13" s="43" t="inlineStr">
        <is>
          <t>Merma</t>
        </is>
      </c>
      <c r="B13" s="52">
        <f>Supuestos!$B$15*SUM(B6:B12)</f>
        <v/>
      </c>
      <c r="C13" s="52">
        <f>Supuestos!$B$15*SUM(C6:C12)</f>
        <v/>
      </c>
      <c r="D13" s="52" t="n"/>
      <c r="E13" s="52">
        <f>Supuestos!$B$15*SUM(E6:E12)</f>
        <v/>
      </c>
      <c r="F13" s="52">
        <f>Supuestos!$B$15*SUM(F6:F12)</f>
        <v/>
      </c>
    </row>
    <row r="14" ht="15" customHeight="1" s="39">
      <c r="A14" s="43" t="inlineStr">
        <is>
          <t>Control de calidad, transporte y almacén</t>
        </is>
      </c>
      <c r="B14" s="52">
        <f>B5*(Supuestos!$B$12+Supuestos!$B$13+Supuestos!$B$14)</f>
        <v/>
      </c>
      <c r="C14" s="52">
        <f>C5*(Supuestos!$B$12+Supuestos!$B$13+Supuestos!$B$14)</f>
        <v/>
      </c>
      <c r="D14" s="52" t="n"/>
      <c r="E14" s="52">
        <f>E5*(Supuestos!$B$12+Supuestos!$B$13+Supuestos!$B$14)</f>
        <v/>
      </c>
      <c r="F14" s="52">
        <f>F5*(Supuestos!$B$12+Supuestos!$B$13+Supuestos!$B$14)</f>
        <v/>
      </c>
    </row>
    <row r="15" ht="15" customHeight="1" s="39">
      <c r="A15" s="49" t="inlineStr">
        <is>
          <t>Costo de producción por presentación</t>
        </is>
      </c>
      <c r="B15" s="72">
        <f>SUM(B6:B14)</f>
        <v/>
      </c>
      <c r="C15" s="72">
        <f>SUM(C6:C14)</f>
        <v/>
      </c>
      <c r="D15" s="72" t="n"/>
      <c r="E15" s="72">
        <f>SUM(E6:E14)</f>
        <v/>
      </c>
      <c r="F15" s="72">
        <f>SUM(F6:F14)</f>
        <v/>
      </c>
    </row>
    <row r="16" ht="15" customHeight="1" s="39">
      <c r="A16" s="49" t="inlineStr">
        <is>
          <t>Costo de producción por unidad</t>
        </is>
      </c>
      <c r="B16" s="72">
        <f>IF(B5=0,0,B15/B5)</f>
        <v/>
      </c>
      <c r="C16" s="72">
        <f>IF(C5=0,0,C15/C5)</f>
        <v/>
      </c>
      <c r="D16" s="72" t="n"/>
      <c r="E16" s="72">
        <f>IF(E5=0,0,E15/E5)</f>
        <v/>
      </c>
      <c r="F16" s="72">
        <f>IF(F5=0,0,F15/F5)</f>
        <v/>
      </c>
    </row>
    <row r="17"/>
    <row r="18" ht="15" customHeight="1" s="39">
      <c r="A18" s="49" t="inlineStr">
        <is>
          <t>Venta en stand o carrito (precio de lista en físico)</t>
        </is>
      </c>
    </row>
    <row r="19" ht="15" customHeight="1" s="39">
      <c r="A19" s="43" t="inlineStr">
        <is>
          <t>Precio con IGV</t>
        </is>
      </c>
      <c r="B19" s="45">
        <f>Supuestos!B40</f>
        <v/>
      </c>
      <c r="C19" s="45">
        <f>Supuestos!C40</f>
        <v/>
      </c>
      <c r="D19" s="45" t="n"/>
      <c r="E19" s="45">
        <f>Supuestos!D40</f>
        <v/>
      </c>
      <c r="F19" s="45">
        <f>Supuestos!E40</f>
        <v/>
      </c>
    </row>
    <row r="20" ht="15" customHeight="1" s="39">
      <c r="A20" s="43" t="inlineStr">
        <is>
          <t>Precio sin IGV</t>
        </is>
      </c>
      <c r="B20" s="52">
        <f>B19/(1+Supuestos!$B$26)</f>
        <v/>
      </c>
      <c r="C20" s="52">
        <f>C19/(1+Supuestos!$B$26)</f>
        <v/>
      </c>
      <c r="D20" s="52" t="n"/>
      <c r="E20" s="52">
        <f>E19/(1+Supuestos!$B$26)</f>
        <v/>
      </c>
      <c r="F20" s="52">
        <f>F19/(1+Supuestos!$B$26)</f>
        <v/>
      </c>
    </row>
    <row r="21" ht="15" customHeight="1" s="39">
      <c r="A21" s="43" t="inlineStr">
        <is>
          <t>Margen bruto por presentación (precio sin IGV menos costo de producción)</t>
        </is>
      </c>
      <c r="B21" s="52">
        <f>B20-B15</f>
        <v/>
      </c>
      <c r="C21" s="52">
        <f>C20-C15</f>
        <v/>
      </c>
      <c r="D21" s="52" t="n"/>
      <c r="E21" s="52">
        <f>E20-E15</f>
        <v/>
      </c>
      <c r="F21" s="52">
        <f>F20-F15</f>
        <v/>
      </c>
    </row>
    <row r="22" ht="15" customHeight="1" s="39">
      <c r="A22" s="43" t="inlineStr">
        <is>
          <t>Margen bruto %</t>
        </is>
      </c>
      <c r="B22" s="51">
        <f>IF(B20=0,0,B21/B20)</f>
        <v/>
      </c>
      <c r="C22" s="51">
        <f>IF(C20=0,0,C21/C20)</f>
        <v/>
      </c>
      <c r="D22" s="51" t="n"/>
      <c r="E22" s="51">
        <f>IF(E20=0,0,E21/E20)</f>
        <v/>
      </c>
      <c r="F22" s="51">
        <f>IF(F20=0,0,F21/F20)</f>
        <v/>
      </c>
    </row>
    <row r="23"/>
    <row r="24" ht="15" customHeight="1" s="39">
      <c r="A24" s="49" t="inlineStr">
        <is>
          <t>Recompra por WhatsApp e Instagram</t>
        </is>
      </c>
    </row>
    <row r="25" ht="15" customHeight="1" s="39">
      <c r="A25" s="43" t="inlineStr">
        <is>
          <t>Precio con IGV</t>
        </is>
      </c>
      <c r="B25" s="45">
        <f>Supuestos!B42</f>
        <v/>
      </c>
      <c r="C25" s="45">
        <f>Supuestos!C42</f>
        <v/>
      </c>
      <c r="D25" s="45" t="n"/>
      <c r="E25" s="45">
        <f>Supuestos!D42</f>
        <v/>
      </c>
      <c r="F25" s="45">
        <f>Supuestos!E42</f>
        <v/>
      </c>
    </row>
    <row r="26" ht="15" customHeight="1" s="39">
      <c r="A26" s="43" t="inlineStr">
        <is>
          <t>Precio sin IGV</t>
        </is>
      </c>
      <c r="B26" s="52">
        <f>B25/(1+Supuestos!$B$26)</f>
        <v/>
      </c>
      <c r="C26" s="52">
        <f>C25/(1+Supuestos!$B$26)</f>
        <v/>
      </c>
      <c r="D26" s="52" t="n"/>
      <c r="E26" s="52">
        <f>E25/(1+Supuestos!$B$26)</f>
        <v/>
      </c>
      <c r="F26" s="52">
        <f>F25/(1+Supuestos!$B$26)</f>
        <v/>
      </c>
    </row>
    <row r="27" ht="15" customHeight="1" s="39">
      <c r="A27" s="43" t="inlineStr">
        <is>
          <t>Margen bruto por presentación (precio sin IGV menos costo de producción)</t>
        </is>
      </c>
      <c r="B27" s="52">
        <f>B26-B15</f>
        <v/>
      </c>
      <c r="C27" s="52">
        <f>C26-C15</f>
        <v/>
      </c>
      <c r="D27" s="52" t="n"/>
      <c r="E27" s="52">
        <f>E26-E15</f>
        <v/>
      </c>
      <c r="F27" s="52">
        <f>F26-F15</f>
        <v/>
      </c>
    </row>
    <row r="28" ht="15" customHeight="1" s="39">
      <c r="A28" s="43" t="inlineStr">
        <is>
          <t>Margen bruto %</t>
        </is>
      </c>
      <c r="B28" s="51">
        <f>IF(B26=0,0,B27/B26)</f>
        <v/>
      </c>
      <c r="C28" s="51">
        <f>IF(C26=0,0,C27/C26)</f>
        <v/>
      </c>
      <c r="D28" s="51" t="n"/>
      <c r="E28" s="51">
        <f>IF(E26=0,0,E27/E26)</f>
        <v/>
      </c>
      <c r="F28" s="51">
        <f>IF(F26=0,0,F27/F26)</f>
        <v/>
      </c>
    </row>
    <row r="30" ht="15" customHeight="1" s="39">
      <c r="A30" s="43" t="inlineStr">
        <is>
          <t>El margen bruto no incluye alquiler del stand, personal, delivery, pasarela, comisiones ni costos fijos: eso se calcula en las hojas Proyeccion y Mensual.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S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0" customWidth="1" style="38" min="1" max="1"/>
    <col width="18" customWidth="1" style="38" min="2" max="2"/>
    <col width="15" customWidth="1" style="38" min="3" max="19"/>
  </cols>
  <sheetData>
    <row r="1" ht="17.35" customHeight="1" s="39">
      <c r="A1" s="40" t="inlineStr">
        <is>
          <t>Proyección anual por canal y presentación (año 1: enero a diciembre de 2027)</t>
        </is>
      </c>
    </row>
    <row r="2" ht="15" customHeight="1" s="39">
      <c r="A2" s="43" t="inlineStr">
        <is>
          <t>Paso a paso: unidades del canal (hoja Mensual) × mezcla de presentaciones (Supuestos) = unidades por presentación; ÷ tamaño = envases vendidos; × precio = ingreso; menos costo de producción y costo variable de canal = contribución.</t>
        </is>
      </c>
    </row>
    <row r="4" ht="57.75" customHeight="1" s="39">
      <c r="A4" s="44" t="inlineStr">
        <is>
          <t>Canal</t>
        </is>
      </c>
      <c r="B4" s="44" t="inlineStr">
        <is>
          <t>Presentación</t>
        </is>
      </c>
      <c r="C4" s="44" t="inlineStr">
        <is>
          <t>Unidades por envase</t>
        </is>
      </c>
      <c r="D4" s="44" t="inlineStr">
        <is>
          <t>Unidades del canal en el año</t>
        </is>
      </c>
      <c r="E4" s="44" t="inlineStr">
        <is>
          <t>% de la mezcla</t>
        </is>
      </c>
      <c r="F4" s="44" t="inlineStr">
        <is>
          <t>Unidades vendidas</t>
        </is>
      </c>
      <c r="G4" s="44" t="inlineStr">
        <is>
          <t>Envases vendidos</t>
        </is>
      </c>
      <c r="H4" s="44" t="inlineStr">
        <is>
          <t>Precio cobrado con IGV por envase</t>
        </is>
      </c>
      <c r="I4" s="44" t="inlineStr">
        <is>
          <t>Ingreso con IGV</t>
        </is>
      </c>
      <c r="J4" s="44" t="inlineStr">
        <is>
          <t>Ingreso sin IGV</t>
        </is>
      </c>
      <c r="K4" s="44" t="inlineStr">
        <is>
          <t>Costo de producción por envase</t>
        </is>
      </c>
      <c r="L4" s="44" t="n"/>
      <c r="M4" s="44" t="inlineStr">
        <is>
          <t>Costo variable de canal por envase</t>
        </is>
      </c>
      <c r="N4" s="44" t="inlineStr">
        <is>
          <t>Contribución por envase</t>
        </is>
      </c>
      <c r="O4" s="44" t="n"/>
      <c r="P4" s="44" t="inlineStr">
        <is>
          <t>Contribución total</t>
        </is>
      </c>
      <c r="Q4" s="44" t="n"/>
      <c r="R4" s="44" t="inlineStr">
        <is>
          <t>Margen de contribución % — B</t>
        </is>
      </c>
      <c r="S4" s="44" t="inlineStr">
        <is>
          <t>Margen de contribución % — C</t>
        </is>
      </c>
    </row>
    <row r="5" ht="15" customHeight="1" s="39">
      <c r="A5" s="43" t="inlineStr">
        <is>
          <t>Stands y carritos (malls y supermercados)</t>
        </is>
      </c>
      <c r="B5" s="43" t="inlineStr">
        <is>
          <t>Unidad individual</t>
        </is>
      </c>
      <c r="C5" s="73">
        <f>Costeo!B5</f>
        <v/>
      </c>
      <c r="D5" s="47">
        <f>Mensual!$N$14</f>
        <v/>
      </c>
      <c r="E5" s="46">
        <f>Supuestos!B48</f>
        <v/>
      </c>
      <c r="F5" s="54">
        <f>D5*E5</f>
        <v/>
      </c>
      <c r="G5" s="54">
        <f>IF(C5=0,0,F5/C5)</f>
        <v/>
      </c>
      <c r="H5" s="45">
        <f>Supuestos!B40</f>
        <v/>
      </c>
      <c r="I5" s="55">
        <f>G5*H5</f>
        <v/>
      </c>
      <c r="J5" s="55">
        <f>I5/(1+Supuestos!$B$26)</f>
        <v/>
      </c>
      <c r="K5" s="45">
        <f>Costeo!B15</f>
        <v/>
      </c>
      <c r="L5" s="45" t="n"/>
      <c r="M5" s="52">
        <f>IF(H5=0,0,C5*Supuestos!$B$32+H5*Supuestos!$B$27*Supuestos!$C$32+H5/(1+Supuestos!$B$26)*Supuestos!$B$28)</f>
        <v/>
      </c>
      <c r="N5" s="52">
        <f>IF(H5=0,0,H5/(1+Supuestos!$B$26)-K5-M5)</f>
        <v/>
      </c>
      <c r="O5" s="52" t="n"/>
      <c r="P5" s="55">
        <f>G5*N5</f>
        <v/>
      </c>
      <c r="Q5" s="55" t="n"/>
      <c r="R5" s="51">
        <f>IF(H5=0,0,N5/(H5/(1+Supuestos!$B$26)))</f>
        <v/>
      </c>
      <c r="S5" s="51">
        <f>IF(H5=0,0,O5/(H5/(1+Supuestos!$B$26)))</f>
        <v/>
      </c>
    </row>
    <row r="6" ht="15" customHeight="1" s="39">
      <c r="A6" s="43" t="inlineStr">
        <is>
          <t>Stands y carritos (malls y supermercados)</t>
        </is>
      </c>
      <c r="B6" s="43" t="inlineStr">
        <is>
          <t>Pack de 6</t>
        </is>
      </c>
      <c r="C6" s="73">
        <f>Costeo!C5</f>
        <v/>
      </c>
      <c r="D6" s="47">
        <f>Mensual!$N$14</f>
        <v/>
      </c>
      <c r="E6" s="46">
        <f>Supuestos!C48</f>
        <v/>
      </c>
      <c r="F6" s="54">
        <f>D6*E6</f>
        <v/>
      </c>
      <c r="G6" s="54">
        <f>IF(C6=0,0,F6/C6)</f>
        <v/>
      </c>
      <c r="H6" s="45">
        <f>Supuestos!C40</f>
        <v/>
      </c>
      <c r="I6" s="55">
        <f>G6*H6</f>
        <v/>
      </c>
      <c r="J6" s="55">
        <f>I6/(1+Supuestos!$B$26)</f>
        <v/>
      </c>
      <c r="K6" s="45">
        <f>Costeo!C15</f>
        <v/>
      </c>
      <c r="L6" s="45" t="n"/>
      <c r="M6" s="52">
        <f>IF(H6=0,0,C6*Supuestos!$B$32+H6*Supuestos!$B$27*Supuestos!$C$32+H6/(1+Supuestos!$B$26)*Supuestos!$B$28)</f>
        <v/>
      </c>
      <c r="N6" s="52">
        <f>IF(H6=0,0,H6/(1+Supuestos!$B$26)-K6-M6)</f>
        <v/>
      </c>
      <c r="O6" s="52" t="n"/>
      <c r="P6" s="55">
        <f>G6*N6</f>
        <v/>
      </c>
      <c r="Q6" s="55" t="n"/>
      <c r="R6" s="51">
        <f>IF(H6=0,0,N6/(H6/(1+Supuestos!$B$26)))</f>
        <v/>
      </c>
      <c r="S6" s="51">
        <f>IF(H6=0,0,O6/(H6/(1+Supuestos!$B$26)))</f>
        <v/>
      </c>
    </row>
    <row r="7" ht="15" customHeight="1" s="39">
      <c r="A7" s="43" t="inlineStr">
        <is>
          <t>Stands y carritos (malls y supermercados)</t>
        </is>
      </c>
      <c r="B7" s="43" t="inlineStr">
        <is>
          <t>Pack de 12</t>
        </is>
      </c>
      <c r="C7" s="73">
        <f>Costeo!E5</f>
        <v/>
      </c>
      <c r="D7" s="47">
        <f>Mensual!$N$14</f>
        <v/>
      </c>
      <c r="E7" s="46">
        <f>Supuestos!D48</f>
        <v/>
      </c>
      <c r="F7" s="54">
        <f>D7*E7</f>
        <v/>
      </c>
      <c r="G7" s="54">
        <f>IF(C7=0,0,F7/C7)</f>
        <v/>
      </c>
      <c r="H7" s="45">
        <f>Supuestos!D40</f>
        <v/>
      </c>
      <c r="I7" s="55">
        <f>G7*H7</f>
        <v/>
      </c>
      <c r="J7" s="55">
        <f>I7/(1+Supuestos!$B$26)</f>
        <v/>
      </c>
      <c r="K7" s="45">
        <f>Costeo!E15</f>
        <v/>
      </c>
      <c r="L7" s="45" t="n"/>
      <c r="M7" s="52">
        <f>IF(H7=0,0,C7*Supuestos!$B$32+H7*Supuestos!$B$27*Supuestos!$C$32+H7/(1+Supuestos!$B$26)*Supuestos!$B$28)</f>
        <v/>
      </c>
      <c r="N7" s="52">
        <f>IF(H7=0,0,H7/(1+Supuestos!$B$26)-K7-M7)</f>
        <v/>
      </c>
      <c r="O7" s="52" t="n"/>
      <c r="P7" s="55">
        <f>G7*N7</f>
        <v/>
      </c>
      <c r="Q7" s="55" t="n"/>
      <c r="R7" s="51">
        <f>IF(H7=0,0,N7/(H7/(1+Supuestos!$B$26)))</f>
        <v/>
      </c>
      <c r="S7" s="51">
        <f>IF(H7=0,0,O7/(H7/(1+Supuestos!$B$26)))</f>
        <v/>
      </c>
    </row>
    <row r="8" ht="15" customHeight="1" s="39">
      <c r="A8" s="43" t="inlineStr">
        <is>
          <t>Stands y carritos (malls y supermercados)</t>
        </is>
      </c>
      <c r="B8" s="43" t="inlineStr">
        <is>
          <t>Caja de 3 sabores</t>
        </is>
      </c>
      <c r="C8" s="73">
        <f>Costeo!F5</f>
        <v/>
      </c>
      <c r="D8" s="47">
        <f>Mensual!$N$14</f>
        <v/>
      </c>
      <c r="E8" s="46">
        <f>Supuestos!E48</f>
        <v/>
      </c>
      <c r="F8" s="54">
        <f>D8*E8</f>
        <v/>
      </c>
      <c r="G8" s="54">
        <f>IF(C8=0,0,F8/C8)</f>
        <v/>
      </c>
      <c r="H8" s="45">
        <f>Supuestos!E40</f>
        <v/>
      </c>
      <c r="I8" s="55">
        <f>G8*H8</f>
        <v/>
      </c>
      <c r="J8" s="55">
        <f>I8/(1+Supuestos!$B$26)</f>
        <v/>
      </c>
      <c r="K8" s="45">
        <f>Costeo!F15</f>
        <v/>
      </c>
      <c r="L8" s="45" t="n"/>
      <c r="M8" s="52">
        <f>IF(H8=0,0,C8*Supuestos!$B$32+H8*Supuestos!$B$27*Supuestos!$C$32+H8/(1+Supuestos!$B$26)*Supuestos!$B$28)</f>
        <v/>
      </c>
      <c r="N8" s="52">
        <f>IF(H8=0,0,H8/(1+Supuestos!$B$26)-K8-M8)</f>
        <v/>
      </c>
      <c r="O8" s="52" t="n"/>
      <c r="P8" s="55">
        <f>G8*N8</f>
        <v/>
      </c>
      <c r="Q8" s="55" t="n"/>
      <c r="R8" s="51">
        <f>IF(H8=0,0,N8/(H8/(1+Supuestos!$B$26)))</f>
        <v/>
      </c>
      <c r="S8" s="51">
        <f>IF(H8=0,0,O8/(H8/(1+Supuestos!$B$26)))</f>
        <v/>
      </c>
    </row>
    <row r="9" ht="15" customHeight="1" s="39">
      <c r="A9" s="43" t="inlineStr">
        <is>
          <t>Ferias y eventos</t>
        </is>
      </c>
      <c r="B9" s="43" t="inlineStr">
        <is>
          <t>Unidad individual</t>
        </is>
      </c>
      <c r="C9" s="73">
        <f>Costeo!B5</f>
        <v/>
      </c>
      <c r="D9" s="47">
        <f>Mensual!$N$15</f>
        <v/>
      </c>
      <c r="E9" s="46">
        <f>Supuestos!B49</f>
        <v/>
      </c>
      <c r="F9" s="54">
        <f>D9*E9</f>
        <v/>
      </c>
      <c r="G9" s="54">
        <f>IF(C9=0,0,F9/C9)</f>
        <v/>
      </c>
      <c r="H9" s="45">
        <f>Supuestos!B41</f>
        <v/>
      </c>
      <c r="I9" s="55">
        <f>G9*H9</f>
        <v/>
      </c>
      <c r="J9" s="55">
        <f>I9/(1+Supuestos!$B$26)</f>
        <v/>
      </c>
      <c r="K9" s="45">
        <f>Costeo!B15</f>
        <v/>
      </c>
      <c r="L9" s="45" t="n"/>
      <c r="M9" s="52">
        <f>IF(H9=0,0,C9*Supuestos!$B$33+H9*Supuestos!$B$27*Supuestos!$C$33+H9/(1+Supuestos!$B$26)*Supuestos!$B$28)</f>
        <v/>
      </c>
      <c r="N9" s="52">
        <f>IF(H9=0,0,H9/(1+Supuestos!$B$26)-K9-M9)</f>
        <v/>
      </c>
      <c r="O9" s="52" t="n"/>
      <c r="P9" s="55">
        <f>G9*N9</f>
        <v/>
      </c>
      <c r="Q9" s="55" t="n"/>
      <c r="R9" s="51">
        <f>IF(H9=0,0,N9/(H9/(1+Supuestos!$B$26)))</f>
        <v/>
      </c>
      <c r="S9" s="51">
        <f>IF(H9=0,0,O9/(H9/(1+Supuestos!$B$26)))</f>
        <v/>
      </c>
    </row>
    <row r="10" ht="15" customHeight="1" s="39">
      <c r="A10" s="43" t="inlineStr">
        <is>
          <t>Ferias y eventos</t>
        </is>
      </c>
      <c r="B10" s="43" t="inlineStr">
        <is>
          <t>Pack de 6</t>
        </is>
      </c>
      <c r="C10" s="73">
        <f>Costeo!C5</f>
        <v/>
      </c>
      <c r="D10" s="47">
        <f>Mensual!$N$15</f>
        <v/>
      </c>
      <c r="E10" s="46">
        <f>Supuestos!C49</f>
        <v/>
      </c>
      <c r="F10" s="54">
        <f>D10*E10</f>
        <v/>
      </c>
      <c r="G10" s="54">
        <f>IF(C10=0,0,F10/C10)</f>
        <v/>
      </c>
      <c r="H10" s="45">
        <f>Supuestos!C41</f>
        <v/>
      </c>
      <c r="I10" s="55">
        <f>G10*H10</f>
        <v/>
      </c>
      <c r="J10" s="55">
        <f>I10/(1+Supuestos!$B$26)</f>
        <v/>
      </c>
      <c r="K10" s="45">
        <f>Costeo!C15</f>
        <v/>
      </c>
      <c r="L10" s="45" t="n"/>
      <c r="M10" s="52">
        <f>IF(H10=0,0,C10*Supuestos!$B$33+H10*Supuestos!$B$27*Supuestos!$C$33+H10/(1+Supuestos!$B$26)*Supuestos!$B$28)</f>
        <v/>
      </c>
      <c r="N10" s="52">
        <f>IF(H10=0,0,H10/(1+Supuestos!$B$26)-K10-M10)</f>
        <v/>
      </c>
      <c r="O10" s="52" t="n"/>
      <c r="P10" s="55">
        <f>G10*N10</f>
        <v/>
      </c>
      <c r="Q10" s="55" t="n"/>
      <c r="R10" s="51">
        <f>IF(H10=0,0,N10/(H10/(1+Supuestos!$B$26)))</f>
        <v/>
      </c>
      <c r="S10" s="51">
        <f>IF(H10=0,0,O10/(H10/(1+Supuestos!$B$26)))</f>
        <v/>
      </c>
    </row>
    <row r="11" ht="15" customHeight="1" s="39">
      <c r="A11" s="43" t="inlineStr">
        <is>
          <t>Ferias y eventos</t>
        </is>
      </c>
      <c r="B11" s="43" t="inlineStr">
        <is>
          <t>Pack de 12</t>
        </is>
      </c>
      <c r="C11" s="73">
        <f>Costeo!E5</f>
        <v/>
      </c>
      <c r="D11" s="47">
        <f>Mensual!$N$15</f>
        <v/>
      </c>
      <c r="E11" s="46">
        <f>Supuestos!D49</f>
        <v/>
      </c>
      <c r="F11" s="54">
        <f>D11*E11</f>
        <v/>
      </c>
      <c r="G11" s="54">
        <f>IF(C11=0,0,F11/C11)</f>
        <v/>
      </c>
      <c r="H11" s="45">
        <f>Supuestos!D41</f>
        <v/>
      </c>
      <c r="I11" s="55">
        <f>G11*H11</f>
        <v/>
      </c>
      <c r="J11" s="55">
        <f>I11/(1+Supuestos!$B$26)</f>
        <v/>
      </c>
      <c r="K11" s="45">
        <f>Costeo!E15</f>
        <v/>
      </c>
      <c r="L11" s="45" t="n"/>
      <c r="M11" s="52">
        <f>IF(H11=0,0,C11*Supuestos!$B$33+H11*Supuestos!$B$27*Supuestos!$C$33+H11/(1+Supuestos!$B$26)*Supuestos!$B$28)</f>
        <v/>
      </c>
      <c r="N11" s="52">
        <f>IF(H11=0,0,H11/(1+Supuestos!$B$26)-K11-M11)</f>
        <v/>
      </c>
      <c r="O11" s="52" t="n"/>
      <c r="P11" s="55">
        <f>G11*N11</f>
        <v/>
      </c>
      <c r="Q11" s="55" t="n"/>
      <c r="R11" s="51">
        <f>IF(H11=0,0,N11/(H11/(1+Supuestos!$B$26)))</f>
        <v/>
      </c>
      <c r="S11" s="51">
        <f>IF(H11=0,0,O11/(H11/(1+Supuestos!$B$26)))</f>
        <v/>
      </c>
    </row>
    <row r="12" ht="15" customHeight="1" s="39">
      <c r="A12" s="43" t="inlineStr">
        <is>
          <t>Ferias y eventos</t>
        </is>
      </c>
      <c r="B12" s="43" t="inlineStr">
        <is>
          <t>Caja de 3 sabores</t>
        </is>
      </c>
      <c r="C12" s="73">
        <f>Costeo!F5</f>
        <v/>
      </c>
      <c r="D12" s="47">
        <f>Mensual!$N$15</f>
        <v/>
      </c>
      <c r="E12" s="46">
        <f>Supuestos!E49</f>
        <v/>
      </c>
      <c r="F12" s="54">
        <f>D12*E12</f>
        <v/>
      </c>
      <c r="G12" s="54">
        <f>IF(C12=0,0,F12/C12)</f>
        <v/>
      </c>
      <c r="H12" s="45">
        <f>Supuestos!E41</f>
        <v/>
      </c>
      <c r="I12" s="55">
        <f>G12*H12</f>
        <v/>
      </c>
      <c r="J12" s="55">
        <f>I12/(1+Supuestos!$B$26)</f>
        <v/>
      </c>
      <c r="K12" s="45">
        <f>Costeo!F15</f>
        <v/>
      </c>
      <c r="L12" s="45" t="n"/>
      <c r="M12" s="52">
        <f>IF(H12=0,0,C12*Supuestos!$B$33+H12*Supuestos!$B$27*Supuestos!$C$33+H12/(1+Supuestos!$B$26)*Supuestos!$B$28)</f>
        <v/>
      </c>
      <c r="N12" s="52">
        <f>IF(H12=0,0,H12/(1+Supuestos!$B$26)-K12-M12)</f>
        <v/>
      </c>
      <c r="O12" s="52" t="n"/>
      <c r="P12" s="55">
        <f>G12*N12</f>
        <v/>
      </c>
      <c r="Q12" s="55" t="n"/>
      <c r="R12" s="51">
        <f>IF(H12=0,0,N12/(H12/(1+Supuestos!$B$26)))</f>
        <v/>
      </c>
      <c r="S12" s="51">
        <f>IF(H12=0,0,O12/(H12/(1+Supuestos!$B$26)))</f>
        <v/>
      </c>
    </row>
    <row r="13" ht="15" customHeight="1" s="39">
      <c r="A13" s="43" t="inlineStr">
        <is>
          <t>Recompra por WhatsApp e Instagram (delivery)</t>
        </is>
      </c>
      <c r="B13" s="43" t="inlineStr">
        <is>
          <t>Unidad individual</t>
        </is>
      </c>
      <c r="C13" s="73">
        <f>Costeo!B5</f>
        <v/>
      </c>
      <c r="D13" s="47">
        <f>Mensual!$N$16</f>
        <v/>
      </c>
      <c r="E13" s="46">
        <f>Supuestos!B50</f>
        <v/>
      </c>
      <c r="F13" s="54">
        <f>D13*E13</f>
        <v/>
      </c>
      <c r="G13" s="54">
        <f>IF(C13=0,0,F13/C13)</f>
        <v/>
      </c>
      <c r="H13" s="45">
        <f>Supuestos!B42</f>
        <v/>
      </c>
      <c r="I13" s="55">
        <f>G13*H13</f>
        <v/>
      </c>
      <c r="J13" s="55">
        <f>I13/(1+Supuestos!$B$26)</f>
        <v/>
      </c>
      <c r="K13" s="45">
        <f>Costeo!B15</f>
        <v/>
      </c>
      <c r="L13" s="45" t="n"/>
      <c r="M13" s="52">
        <f>IF(H13=0,0,C13*Supuestos!$B$34+H13*Supuestos!$B$27*Supuestos!$C$34+H13/(1+Supuestos!$B$26)*Supuestos!$B$28)</f>
        <v/>
      </c>
      <c r="N13" s="52">
        <f>IF(H13=0,0,H13/(1+Supuestos!$B$26)-K13-M13)</f>
        <v/>
      </c>
      <c r="O13" s="52" t="n"/>
      <c r="P13" s="55">
        <f>G13*N13</f>
        <v/>
      </c>
      <c r="Q13" s="55" t="n"/>
      <c r="R13" s="51">
        <f>IF(H13=0,0,N13/(H13/(1+Supuestos!$B$26)))</f>
        <v/>
      </c>
      <c r="S13" s="51">
        <f>IF(H13=0,0,O13/(H13/(1+Supuestos!$B$26)))</f>
        <v/>
      </c>
    </row>
    <row r="14" ht="15" customHeight="1" s="39">
      <c r="A14" s="43" t="inlineStr">
        <is>
          <t>Recompra por WhatsApp e Instagram (delivery)</t>
        </is>
      </c>
      <c r="B14" s="43" t="inlineStr">
        <is>
          <t>Pack de 6</t>
        </is>
      </c>
      <c r="C14" s="73">
        <f>Costeo!C5</f>
        <v/>
      </c>
      <c r="D14" s="47">
        <f>Mensual!$N$16</f>
        <v/>
      </c>
      <c r="E14" s="46">
        <f>Supuestos!C50</f>
        <v/>
      </c>
      <c r="F14" s="54">
        <f>D14*E14</f>
        <v/>
      </c>
      <c r="G14" s="54">
        <f>IF(C14=0,0,F14/C14)</f>
        <v/>
      </c>
      <c r="H14" s="45">
        <f>Supuestos!C42</f>
        <v/>
      </c>
      <c r="I14" s="55">
        <f>G14*H14</f>
        <v/>
      </c>
      <c r="J14" s="55">
        <f>I14/(1+Supuestos!$B$26)</f>
        <v/>
      </c>
      <c r="K14" s="45">
        <f>Costeo!C15</f>
        <v/>
      </c>
      <c r="L14" s="45" t="n"/>
      <c r="M14" s="52">
        <f>IF(H14=0,0,C14*Supuestos!$B$34+H14*Supuestos!$B$27*Supuestos!$C$34+H14/(1+Supuestos!$B$26)*Supuestos!$B$28)</f>
        <v/>
      </c>
      <c r="N14" s="52">
        <f>IF(H14=0,0,H14/(1+Supuestos!$B$26)-K14-M14)</f>
        <v/>
      </c>
      <c r="O14" s="52" t="n"/>
      <c r="P14" s="55">
        <f>G14*N14</f>
        <v/>
      </c>
      <c r="Q14" s="55" t="n"/>
      <c r="R14" s="51">
        <f>IF(H14=0,0,N14/(H14/(1+Supuestos!$B$26)))</f>
        <v/>
      </c>
      <c r="S14" s="51">
        <f>IF(H14=0,0,O14/(H14/(1+Supuestos!$B$26)))</f>
        <v/>
      </c>
    </row>
    <row r="15" ht="15" customHeight="1" s="39">
      <c r="A15" s="43" t="inlineStr">
        <is>
          <t>Recompra por WhatsApp e Instagram (delivery)</t>
        </is>
      </c>
      <c r="B15" s="43" t="inlineStr">
        <is>
          <t>Pack de 12</t>
        </is>
      </c>
      <c r="C15" s="73">
        <f>Costeo!E5</f>
        <v/>
      </c>
      <c r="D15" s="47">
        <f>Mensual!$N$16</f>
        <v/>
      </c>
      <c r="E15" s="46">
        <f>Supuestos!D50</f>
        <v/>
      </c>
      <c r="F15" s="54">
        <f>D15*E15</f>
        <v/>
      </c>
      <c r="G15" s="54">
        <f>IF(C15=0,0,F15/C15)</f>
        <v/>
      </c>
      <c r="H15" s="45">
        <f>Supuestos!D42</f>
        <v/>
      </c>
      <c r="I15" s="55">
        <f>G15*H15</f>
        <v/>
      </c>
      <c r="J15" s="55">
        <f>I15/(1+Supuestos!$B$26)</f>
        <v/>
      </c>
      <c r="K15" s="45">
        <f>Costeo!E15</f>
        <v/>
      </c>
      <c r="L15" s="45" t="n"/>
      <c r="M15" s="52">
        <f>IF(H15=0,0,C15*Supuestos!$B$34+H15*Supuestos!$B$27*Supuestos!$C$34+H15/(1+Supuestos!$B$26)*Supuestos!$B$28)</f>
        <v/>
      </c>
      <c r="N15" s="52">
        <f>IF(H15=0,0,H15/(1+Supuestos!$B$26)-K15-M15)</f>
        <v/>
      </c>
      <c r="O15" s="52" t="n"/>
      <c r="P15" s="55">
        <f>G15*N15</f>
        <v/>
      </c>
      <c r="Q15" s="55" t="n"/>
      <c r="R15" s="51">
        <f>IF(H15=0,0,N15/(H15/(1+Supuestos!$B$26)))</f>
        <v/>
      </c>
      <c r="S15" s="51">
        <f>IF(H15=0,0,O15/(H15/(1+Supuestos!$B$26)))</f>
        <v/>
      </c>
    </row>
    <row r="16" ht="15" customHeight="1" s="39">
      <c r="A16" s="43" t="inlineStr">
        <is>
          <t>Recompra por WhatsApp e Instagram (delivery)</t>
        </is>
      </c>
      <c r="B16" s="43" t="inlineStr">
        <is>
          <t>Caja de 3 sabores</t>
        </is>
      </c>
      <c r="C16" s="73">
        <f>Costeo!F5</f>
        <v/>
      </c>
      <c r="D16" s="47">
        <f>Mensual!$N$16</f>
        <v/>
      </c>
      <c r="E16" s="46">
        <f>Supuestos!E50</f>
        <v/>
      </c>
      <c r="F16" s="54">
        <f>D16*E16</f>
        <v/>
      </c>
      <c r="G16" s="54">
        <f>IF(C16=0,0,F16/C16)</f>
        <v/>
      </c>
      <c r="H16" s="45">
        <f>Supuestos!E42</f>
        <v/>
      </c>
      <c r="I16" s="55">
        <f>G16*H16</f>
        <v/>
      </c>
      <c r="J16" s="55">
        <f>I16/(1+Supuestos!$B$26)</f>
        <v/>
      </c>
      <c r="K16" s="45">
        <f>Costeo!F15</f>
        <v/>
      </c>
      <c r="L16" s="45" t="n"/>
      <c r="M16" s="52">
        <f>IF(H16=0,0,C16*Supuestos!$B$34+H16*Supuestos!$B$27*Supuestos!$C$34+H16/(1+Supuestos!$B$26)*Supuestos!$B$28)</f>
        <v/>
      </c>
      <c r="N16" s="52">
        <f>IF(H16=0,0,H16/(1+Supuestos!$B$26)-K16-M16)</f>
        <v/>
      </c>
      <c r="O16" s="52" t="n"/>
      <c r="P16" s="55">
        <f>G16*N16</f>
        <v/>
      </c>
      <c r="Q16" s="55" t="n"/>
      <c r="R16" s="51">
        <f>IF(H16=0,0,N16/(H16/(1+Supuestos!$B$26)))</f>
        <v/>
      </c>
      <c r="S16" s="51">
        <f>IF(H16=0,0,O16/(H16/(1+Supuestos!$B$26)))</f>
        <v/>
      </c>
    </row>
    <row r="17" ht="15" customHeight="1" s="39">
      <c r="A17" s="43" t="inlineStr">
        <is>
          <t>Colegios (quiosco)</t>
        </is>
      </c>
      <c r="B17" s="43" t="inlineStr">
        <is>
          <t>Unidad individual</t>
        </is>
      </c>
      <c r="C17" s="73">
        <f>Costeo!B5</f>
        <v/>
      </c>
      <c r="D17" s="47">
        <f>Mensual!$N$17</f>
        <v/>
      </c>
      <c r="E17" s="46">
        <f>Supuestos!B51</f>
        <v/>
      </c>
      <c r="F17" s="54">
        <f>D17*E17</f>
        <v/>
      </c>
      <c r="G17" s="54">
        <f>IF(C17=0,0,F17/C17)</f>
        <v/>
      </c>
      <c r="H17" s="45">
        <f>Supuestos!B43</f>
        <v/>
      </c>
      <c r="I17" s="55">
        <f>G17*H17</f>
        <v/>
      </c>
      <c r="J17" s="55">
        <f>I17/(1+Supuestos!$B$26)</f>
        <v/>
      </c>
      <c r="K17" s="45">
        <f>Costeo!B15</f>
        <v/>
      </c>
      <c r="L17" s="45" t="n"/>
      <c r="M17" s="52">
        <f>IF(H17=0,0,C17*Supuestos!$B$35+H17*Supuestos!$B$27*Supuestos!$C$35+H17/(1+Supuestos!$B$26)*Supuestos!$B$28)</f>
        <v/>
      </c>
      <c r="N17" s="52">
        <f>IF(H17=0,0,H17/(1+Supuestos!$B$26)-K17-M17)</f>
        <v/>
      </c>
      <c r="O17" s="52" t="n"/>
      <c r="P17" s="55">
        <f>G17*N17</f>
        <v/>
      </c>
      <c r="Q17" s="55" t="n"/>
      <c r="R17" s="51">
        <f>IF(H17=0,0,N17/(H17/(1+Supuestos!$B$26)))</f>
        <v/>
      </c>
      <c r="S17" s="51">
        <f>IF(H17=0,0,O17/(H17/(1+Supuestos!$B$26)))</f>
        <v/>
      </c>
    </row>
    <row r="18" ht="15" customHeight="1" s="39">
      <c r="A18" s="43" t="inlineStr">
        <is>
          <t>Colegios (quiosco)</t>
        </is>
      </c>
      <c r="B18" s="43" t="inlineStr">
        <is>
          <t>Pack de 6</t>
        </is>
      </c>
      <c r="C18" s="73">
        <f>Costeo!C5</f>
        <v/>
      </c>
      <c r="D18" s="47">
        <f>Mensual!$N$17</f>
        <v/>
      </c>
      <c r="E18" s="46">
        <f>Supuestos!C51</f>
        <v/>
      </c>
      <c r="F18" s="54">
        <f>D18*E18</f>
        <v/>
      </c>
      <c r="G18" s="54">
        <f>IF(C18=0,0,F18/C18)</f>
        <v/>
      </c>
      <c r="H18" s="45">
        <f>Supuestos!C43</f>
        <v/>
      </c>
      <c r="I18" s="55">
        <f>G18*H18</f>
        <v/>
      </c>
      <c r="J18" s="55">
        <f>I18/(1+Supuestos!$B$26)</f>
        <v/>
      </c>
      <c r="K18" s="45">
        <f>Costeo!C15</f>
        <v/>
      </c>
      <c r="L18" s="45" t="n"/>
      <c r="M18" s="52">
        <f>IF(H18=0,0,C18*Supuestos!$B$35+H18*Supuestos!$B$27*Supuestos!$C$35+H18/(1+Supuestos!$B$26)*Supuestos!$B$28)</f>
        <v/>
      </c>
      <c r="N18" s="52">
        <f>IF(H18=0,0,H18/(1+Supuestos!$B$26)-K18-M18)</f>
        <v/>
      </c>
      <c r="O18" s="52" t="n"/>
      <c r="P18" s="55">
        <f>G18*N18</f>
        <v/>
      </c>
      <c r="Q18" s="55" t="n"/>
      <c r="R18" s="51">
        <f>IF(H18=0,0,N18/(H18/(1+Supuestos!$B$26)))</f>
        <v/>
      </c>
      <c r="S18" s="51">
        <f>IF(H18=0,0,O18/(H18/(1+Supuestos!$B$26)))</f>
        <v/>
      </c>
    </row>
    <row r="19" ht="15" customHeight="1" s="39">
      <c r="A19" s="43" t="inlineStr">
        <is>
          <t>Colegios (quiosco)</t>
        </is>
      </c>
      <c r="B19" s="43" t="inlineStr">
        <is>
          <t>Pack de 12</t>
        </is>
      </c>
      <c r="C19" s="73">
        <f>Costeo!E5</f>
        <v/>
      </c>
      <c r="D19" s="47">
        <f>Mensual!$N$17</f>
        <v/>
      </c>
      <c r="E19" s="46">
        <f>Supuestos!D51</f>
        <v/>
      </c>
      <c r="F19" s="54">
        <f>D19*E19</f>
        <v/>
      </c>
      <c r="G19" s="54">
        <f>IF(C19=0,0,F19/C19)</f>
        <v/>
      </c>
      <c r="H19" s="45">
        <f>Supuestos!D43</f>
        <v/>
      </c>
      <c r="I19" s="55">
        <f>G19*H19</f>
        <v/>
      </c>
      <c r="J19" s="55">
        <f>I19/(1+Supuestos!$B$26)</f>
        <v/>
      </c>
      <c r="K19" s="45">
        <f>Costeo!E15</f>
        <v/>
      </c>
      <c r="L19" s="45" t="n"/>
      <c r="M19" s="52">
        <f>IF(H19=0,0,C19*Supuestos!$B$35+H19*Supuestos!$B$27*Supuestos!$C$35+H19/(1+Supuestos!$B$26)*Supuestos!$B$28)</f>
        <v/>
      </c>
      <c r="N19" s="52">
        <f>IF(H19=0,0,H19/(1+Supuestos!$B$26)-K19-M19)</f>
        <v/>
      </c>
      <c r="O19" s="52" t="n"/>
      <c r="P19" s="55">
        <f>G19*N19</f>
        <v/>
      </c>
      <c r="Q19" s="55" t="n"/>
      <c r="R19" s="51">
        <f>IF(H19=0,0,N19/(H19/(1+Supuestos!$B$26)))</f>
        <v/>
      </c>
      <c r="S19" s="51">
        <f>IF(H19=0,0,O19/(H19/(1+Supuestos!$B$26)))</f>
        <v/>
      </c>
    </row>
    <row r="20" ht="15" customHeight="1" s="39">
      <c r="A20" s="43" t="inlineStr">
        <is>
          <t>Colegios (quiosco)</t>
        </is>
      </c>
      <c r="B20" s="43" t="inlineStr">
        <is>
          <t>Caja de 3 sabores</t>
        </is>
      </c>
      <c r="C20" s="73">
        <f>Costeo!F5</f>
        <v/>
      </c>
      <c r="D20" s="47">
        <f>Mensual!$N$17</f>
        <v/>
      </c>
      <c r="E20" s="46">
        <f>Supuestos!E51</f>
        <v/>
      </c>
      <c r="F20" s="54">
        <f>D20*E20</f>
        <v/>
      </c>
      <c r="G20" s="54">
        <f>IF(C20=0,0,F20/C20)</f>
        <v/>
      </c>
      <c r="H20" s="45">
        <f>Supuestos!E43</f>
        <v/>
      </c>
      <c r="I20" s="55">
        <f>G20*H20</f>
        <v/>
      </c>
      <c r="J20" s="55">
        <f>I20/(1+Supuestos!$B$26)</f>
        <v/>
      </c>
      <c r="K20" s="45">
        <f>Costeo!F15</f>
        <v/>
      </c>
      <c r="L20" s="45" t="n"/>
      <c r="M20" s="52">
        <f>IF(H20=0,0,C20*Supuestos!$B$35+H20*Supuestos!$B$27*Supuestos!$C$35+H20/(1+Supuestos!$B$26)*Supuestos!$B$28)</f>
        <v/>
      </c>
      <c r="N20" s="52">
        <f>IF(H20=0,0,H20/(1+Supuestos!$B$26)-K20-M20)</f>
        <v/>
      </c>
      <c r="O20" s="52" t="n"/>
      <c r="P20" s="55">
        <f>G20*N20</f>
        <v/>
      </c>
      <c r="Q20" s="55" t="n"/>
      <c r="R20" s="51">
        <f>IF(H20=0,0,N20/(H20/(1+Supuestos!$B$26)))</f>
        <v/>
      </c>
      <c r="S20" s="51">
        <f>IF(H20=0,0,O20/(H20/(1+Supuestos!$B$26)))</f>
        <v/>
      </c>
    </row>
    <row r="21" ht="15" customHeight="1" s="39">
      <c r="A21" s="43" t="inlineStr">
        <is>
          <t>Tiendas naturistas</t>
        </is>
      </c>
      <c r="B21" s="43" t="inlineStr">
        <is>
          <t>Unidad individual</t>
        </is>
      </c>
      <c r="C21" s="73">
        <f>Costeo!B5</f>
        <v/>
      </c>
      <c r="D21" s="47">
        <f>Mensual!$N$18</f>
        <v/>
      </c>
      <c r="E21" s="46">
        <f>Supuestos!B52</f>
        <v/>
      </c>
      <c r="F21" s="54">
        <f>D21*E21</f>
        <v/>
      </c>
      <c r="G21" s="54">
        <f>IF(C21=0,0,F21/C21)</f>
        <v/>
      </c>
      <c r="H21" s="45">
        <f>Supuestos!B44</f>
        <v/>
      </c>
      <c r="I21" s="55">
        <f>G21*H21</f>
        <v/>
      </c>
      <c r="J21" s="55">
        <f>I21/(1+Supuestos!$B$26)</f>
        <v/>
      </c>
      <c r="K21" s="45">
        <f>Costeo!B15</f>
        <v/>
      </c>
      <c r="L21" s="45" t="n"/>
      <c r="M21" s="52">
        <f>IF(H21=0,0,C21*Supuestos!$B$36+H21*Supuestos!$B$27*Supuestos!$C$36+H21/(1+Supuestos!$B$26)*Supuestos!$B$28)</f>
        <v/>
      </c>
      <c r="N21" s="52">
        <f>IF(H21=0,0,H21/(1+Supuestos!$B$26)-K21-M21)</f>
        <v/>
      </c>
      <c r="O21" s="52" t="n"/>
      <c r="P21" s="55">
        <f>G21*N21</f>
        <v/>
      </c>
      <c r="Q21" s="55" t="n"/>
      <c r="R21" s="51">
        <f>IF(H21=0,0,N21/(H21/(1+Supuestos!$B$26)))</f>
        <v/>
      </c>
      <c r="S21" s="51">
        <f>IF(H21=0,0,O21/(H21/(1+Supuestos!$B$26)))</f>
        <v/>
      </c>
    </row>
    <row r="22" ht="15" customHeight="1" s="39">
      <c r="A22" s="43" t="inlineStr">
        <is>
          <t>Tiendas naturistas</t>
        </is>
      </c>
      <c r="B22" s="43" t="inlineStr">
        <is>
          <t>Pack de 6</t>
        </is>
      </c>
      <c r="C22" s="73">
        <f>Costeo!C5</f>
        <v/>
      </c>
      <c r="D22" s="47">
        <f>Mensual!$N$18</f>
        <v/>
      </c>
      <c r="E22" s="46">
        <f>Supuestos!C52</f>
        <v/>
      </c>
      <c r="F22" s="54">
        <f>D22*E22</f>
        <v/>
      </c>
      <c r="G22" s="54">
        <f>IF(C22=0,0,F22/C22)</f>
        <v/>
      </c>
      <c r="H22" s="45">
        <f>Supuestos!C44</f>
        <v/>
      </c>
      <c r="I22" s="55">
        <f>G22*H22</f>
        <v/>
      </c>
      <c r="J22" s="55">
        <f>I22/(1+Supuestos!$B$26)</f>
        <v/>
      </c>
      <c r="K22" s="45">
        <f>Costeo!C15</f>
        <v/>
      </c>
      <c r="L22" s="45" t="n"/>
      <c r="M22" s="52">
        <f>IF(H22=0,0,C22*Supuestos!$B$36+H22*Supuestos!$B$27*Supuestos!$C$36+H22/(1+Supuestos!$B$26)*Supuestos!$B$28)</f>
        <v/>
      </c>
      <c r="N22" s="52">
        <f>IF(H22=0,0,H22/(1+Supuestos!$B$26)-K22-M22)</f>
        <v/>
      </c>
      <c r="O22" s="52" t="n"/>
      <c r="P22" s="55">
        <f>G22*N22</f>
        <v/>
      </c>
      <c r="Q22" s="55" t="n"/>
      <c r="R22" s="51">
        <f>IF(H22=0,0,N22/(H22/(1+Supuestos!$B$26)))</f>
        <v/>
      </c>
      <c r="S22" s="51">
        <f>IF(H22=0,0,O22/(H22/(1+Supuestos!$B$26)))</f>
        <v/>
      </c>
    </row>
    <row r="23" ht="15" customHeight="1" s="39">
      <c r="A23" s="43" t="inlineStr">
        <is>
          <t>Tiendas naturistas</t>
        </is>
      </c>
      <c r="B23" s="43" t="inlineStr">
        <is>
          <t>Pack de 12</t>
        </is>
      </c>
      <c r="C23" s="73">
        <f>Costeo!E5</f>
        <v/>
      </c>
      <c r="D23" s="47">
        <f>Mensual!$N$18</f>
        <v/>
      </c>
      <c r="E23" s="46">
        <f>Supuestos!D52</f>
        <v/>
      </c>
      <c r="F23" s="54">
        <f>D23*E23</f>
        <v/>
      </c>
      <c r="G23" s="54">
        <f>IF(C23=0,0,F23/C23)</f>
        <v/>
      </c>
      <c r="H23" s="45">
        <f>Supuestos!D44</f>
        <v/>
      </c>
      <c r="I23" s="55">
        <f>G23*H23</f>
        <v/>
      </c>
      <c r="J23" s="55">
        <f>I23/(1+Supuestos!$B$26)</f>
        <v/>
      </c>
      <c r="K23" s="45">
        <f>Costeo!E15</f>
        <v/>
      </c>
      <c r="L23" s="45" t="n"/>
      <c r="M23" s="52">
        <f>IF(H23=0,0,C23*Supuestos!$B$36+H23*Supuestos!$B$27*Supuestos!$C$36+H23/(1+Supuestos!$B$26)*Supuestos!$B$28)</f>
        <v/>
      </c>
      <c r="N23" s="52">
        <f>IF(H23=0,0,H23/(1+Supuestos!$B$26)-K23-M23)</f>
        <v/>
      </c>
      <c r="O23" s="52" t="n"/>
      <c r="P23" s="55">
        <f>G23*N23</f>
        <v/>
      </c>
      <c r="Q23" s="55" t="n"/>
      <c r="R23" s="51">
        <f>IF(H23=0,0,N23/(H23/(1+Supuestos!$B$26)))</f>
        <v/>
      </c>
      <c r="S23" s="51">
        <f>IF(H23=0,0,O23/(H23/(1+Supuestos!$B$26)))</f>
        <v/>
      </c>
    </row>
    <row r="24" ht="15" customHeight="1" s="39">
      <c r="A24" s="43" t="inlineStr">
        <is>
          <t>Tiendas naturistas</t>
        </is>
      </c>
      <c r="B24" s="43" t="inlineStr">
        <is>
          <t>Caja de 3 sabores</t>
        </is>
      </c>
      <c r="C24" s="73">
        <f>Costeo!F5</f>
        <v/>
      </c>
      <c r="D24" s="47">
        <f>Mensual!$N$18</f>
        <v/>
      </c>
      <c r="E24" s="46">
        <f>Supuestos!E52</f>
        <v/>
      </c>
      <c r="F24" s="54">
        <f>D24*E24</f>
        <v/>
      </c>
      <c r="G24" s="54">
        <f>IF(C24=0,0,F24/C24)</f>
        <v/>
      </c>
      <c r="H24" s="45">
        <f>Supuestos!E44</f>
        <v/>
      </c>
      <c r="I24" s="55">
        <f>G24*H24</f>
        <v/>
      </c>
      <c r="J24" s="55">
        <f>I24/(1+Supuestos!$B$26)</f>
        <v/>
      </c>
      <c r="K24" s="45">
        <f>Costeo!F15</f>
        <v/>
      </c>
      <c r="L24" s="45" t="n"/>
      <c r="M24" s="52">
        <f>IF(H24=0,0,C24*Supuestos!$B$36+H24*Supuestos!$B$27*Supuestos!$C$36+H24/(1+Supuestos!$B$26)*Supuestos!$B$28)</f>
        <v/>
      </c>
      <c r="N24" s="52">
        <f>IF(H24=0,0,H24/(1+Supuestos!$B$26)-K24-M24)</f>
        <v/>
      </c>
      <c r="O24" s="52" t="n"/>
      <c r="P24" s="55">
        <f>G24*N24</f>
        <v/>
      </c>
      <c r="Q24" s="55" t="n"/>
      <c r="R24" s="51">
        <f>IF(H24=0,0,N24/(H24/(1+Supuestos!$B$26)))</f>
        <v/>
      </c>
      <c r="S24" s="51">
        <f>IF(H24=0,0,O24/(H24/(1+Supuestos!$B$26)))</f>
        <v/>
      </c>
    </row>
    <row r="25" ht="15" customHeight="1" s="39">
      <c r="A25" s="49" t="inlineStr">
        <is>
          <t>Total</t>
        </is>
      </c>
      <c r="F25" s="74">
        <f>SUM(F5:F24)</f>
        <v/>
      </c>
      <c r="I25" s="50">
        <f>SUM(I5:I24)</f>
        <v/>
      </c>
      <c r="J25" s="50">
        <f>SUM(J5:J24)</f>
        <v/>
      </c>
      <c r="P25" s="50">
        <f>SUM(P5:P24)</f>
        <v/>
      </c>
      <c r="Q25" s="50" t="n"/>
    </row>
    <row r="28" ht="15" customHeight="1" s="39">
      <c r="A28" s="59" t="inlineStr">
        <is>
          <t>2. Contribución por canal (la usan las hojas Mensual y Anio2)</t>
        </is>
      </c>
      <c r="B28" s="60" t="n"/>
      <c r="C28" s="60" t="n"/>
      <c r="D28" s="60" t="n"/>
      <c r="E28" s="60" t="n"/>
      <c r="F28" s="60" t="n"/>
      <c r="G28" s="60" t="n"/>
      <c r="H28" s="60" t="n"/>
    </row>
    <row r="29" ht="42" customHeight="1" s="39">
      <c r="A29" s="44" t="inlineStr">
        <is>
          <t>Canal</t>
        </is>
      </c>
      <c r="B29" s="44" t="inlineStr">
        <is>
          <t>Unidades</t>
        </is>
      </c>
      <c r="C29" s="44" t="inlineStr">
        <is>
          <t>Contribución</t>
        </is>
      </c>
      <c r="D29" s="44" t="n"/>
      <c r="E29" s="44" t="inlineStr">
        <is>
          <t>Ingreso con IGV</t>
        </is>
      </c>
      <c r="F29" s="44" t="inlineStr">
        <is>
          <t>Contribución por unidad — B</t>
        </is>
      </c>
      <c r="G29" s="44" t="n"/>
      <c r="H29" s="44" t="inlineStr">
        <is>
          <t>Ingreso con IGV por unidad</t>
        </is>
      </c>
    </row>
    <row r="30" ht="15" customHeight="1" s="39">
      <c r="A30" s="43" t="inlineStr">
        <is>
          <t>Stands y carritos (malls y supermercados)</t>
        </is>
      </c>
      <c r="B30" s="54">
        <f>SUMIF($A$5:$A$24,A30,$F$5:$F$24)</f>
        <v/>
      </c>
      <c r="C30" s="55">
        <f>SUMIF($A$5:$A$24,A30,$P$5:$P$24)</f>
        <v/>
      </c>
      <c r="D30" s="55" t="n"/>
      <c r="E30" s="55">
        <f>SUMIF($A$5:$A$24,A30,$I$5:$I$24)</f>
        <v/>
      </c>
      <c r="F30" s="52">
        <f>IF(B30=0,0,C30/B30)</f>
        <v/>
      </c>
      <c r="G30" s="52" t="n"/>
      <c r="H30" s="52">
        <f>IF(B30=0,0,E30/B30)</f>
        <v/>
      </c>
    </row>
    <row r="31" ht="15" customHeight="1" s="39">
      <c r="A31" s="43" t="inlineStr">
        <is>
          <t>Ferias y eventos</t>
        </is>
      </c>
      <c r="B31" s="54">
        <f>SUMIF($A$5:$A$24,A31,$F$5:$F$24)</f>
        <v/>
      </c>
      <c r="C31" s="55">
        <f>SUMIF($A$5:$A$24,A31,$P$5:$P$24)</f>
        <v/>
      </c>
      <c r="D31" s="55" t="n"/>
      <c r="E31" s="55">
        <f>SUMIF($A$5:$A$24,A31,$I$5:$I$24)</f>
        <v/>
      </c>
      <c r="F31" s="52">
        <f>IF(B31=0,0,C31/B31)</f>
        <v/>
      </c>
      <c r="G31" s="52" t="n"/>
      <c r="H31" s="52">
        <f>IF(B31=0,0,E31/B31)</f>
        <v/>
      </c>
    </row>
    <row r="32" ht="15" customHeight="1" s="39">
      <c r="A32" s="43" t="inlineStr">
        <is>
          <t>Recompra por WhatsApp e Instagram (delivery)</t>
        </is>
      </c>
      <c r="B32" s="54">
        <f>SUMIF($A$5:$A$24,A32,$F$5:$F$24)</f>
        <v/>
      </c>
      <c r="C32" s="55">
        <f>SUMIF($A$5:$A$24,A32,$P$5:$P$24)</f>
        <v/>
      </c>
      <c r="D32" s="55" t="n"/>
      <c r="E32" s="55">
        <f>SUMIF($A$5:$A$24,A32,$I$5:$I$24)</f>
        <v/>
      </c>
      <c r="F32" s="52">
        <f>IF(B32=0,0,C32/B32)</f>
        <v/>
      </c>
      <c r="G32" s="52" t="n"/>
      <c r="H32" s="52">
        <f>IF(B32=0,0,E32/B32)</f>
        <v/>
      </c>
    </row>
    <row r="33" ht="15" customHeight="1" s="39">
      <c r="A33" s="43" t="inlineStr">
        <is>
          <t>Colegios (quiosco)</t>
        </is>
      </c>
      <c r="B33" s="54">
        <f>SUMIF($A$5:$A$24,A33,$F$5:$F$24)</f>
        <v/>
      </c>
      <c r="C33" s="55">
        <f>SUMIF($A$5:$A$24,A33,$P$5:$P$24)</f>
        <v/>
      </c>
      <c r="D33" s="55" t="n"/>
      <c r="E33" s="55">
        <f>SUMIF($A$5:$A$24,A33,$I$5:$I$24)</f>
        <v/>
      </c>
      <c r="F33" s="52">
        <f>IF(B33=0,0,C33/B33)</f>
        <v/>
      </c>
      <c r="G33" s="52" t="n"/>
      <c r="H33" s="52">
        <f>IF(B33=0,0,E33/B33)</f>
        <v/>
      </c>
    </row>
    <row r="34" ht="15" customHeight="1" s="39">
      <c r="A34" s="43" t="inlineStr">
        <is>
          <t>Tiendas naturistas</t>
        </is>
      </c>
      <c r="B34" s="54">
        <f>SUMIF($A$5:$A$24,A34,$F$5:$F$24)</f>
        <v/>
      </c>
      <c r="C34" s="55">
        <f>SUMIF($A$5:$A$24,A34,$P$5:$P$24)</f>
        <v/>
      </c>
      <c r="D34" s="55" t="n"/>
      <c r="E34" s="55">
        <f>SUMIF($A$5:$A$24,A34,$I$5:$I$24)</f>
        <v/>
      </c>
      <c r="F34" s="52">
        <f>IF(B34=0,0,C34/B34)</f>
        <v/>
      </c>
      <c r="G34" s="52" t="n"/>
      <c r="H34" s="52">
        <f>IF(B34=0,0,E34/B34)</f>
        <v/>
      </c>
    </row>
    <row r="35" ht="15" customHeight="1" s="39">
      <c r="A35" s="49" t="inlineStr">
        <is>
          <t>Total</t>
        </is>
      </c>
      <c r="B35" s="74">
        <f>SUM(B30:B34)</f>
        <v/>
      </c>
      <c r="C35" s="50">
        <f>SUM(C30:C34)</f>
        <v/>
      </c>
      <c r="D35" s="50" t="n"/>
      <c r="E35" s="50">
        <f>SUM(E30:E34)</f>
        <v/>
      </c>
      <c r="F35" s="72">
        <f>IF(B35=0,0,C35/B35)</f>
        <v/>
      </c>
      <c r="G35" s="72" t="n"/>
      <c r="H35" s="72">
        <f>IF(B35=0,0,E35/B35)</f>
        <v/>
      </c>
    </row>
    <row r="37" ht="15" customHeight="1" s="39">
      <c r="A37" s="59" t="inlineStr">
        <is>
          <t>3. Resumen por presentación</t>
        </is>
      </c>
      <c r="B37" s="60" t="n"/>
      <c r="C37" s="60" t="n"/>
      <c r="D37" s="60" t="n"/>
      <c r="E37" s="60" t="n"/>
      <c r="F37" s="60" t="n"/>
      <c r="G37" s="60" t="n"/>
      <c r="H37" s="60" t="n"/>
    </row>
    <row r="38" ht="30" customHeight="1" s="39">
      <c r="A38" s="44" t="inlineStr">
        <is>
          <t>Presentación</t>
        </is>
      </c>
      <c r="B38" s="44" t="inlineStr">
        <is>
          <t>Unidades</t>
        </is>
      </c>
      <c r="C38" s="44" t="inlineStr">
        <is>
          <t>Envases vendidos</t>
        </is>
      </c>
      <c r="D38" s="44" t="inlineStr">
        <is>
          <t>Ingreso con IGV</t>
        </is>
      </c>
      <c r="E38" s="44" t="inlineStr">
        <is>
          <t>Contribución</t>
        </is>
      </c>
      <c r="F38" s="44" t="n"/>
      <c r="G38" s="44" t="inlineStr">
        <is>
          <t>% de las unidades</t>
        </is>
      </c>
      <c r="H38" s="44" t="n"/>
    </row>
    <row r="39" ht="15" customHeight="1" s="39">
      <c r="A39" s="43" t="inlineStr">
        <is>
          <t>Unidad individual</t>
        </is>
      </c>
      <c r="B39" s="54">
        <f>SUMIF($B$5:$B$24,A39,$F$5:$F$24)</f>
        <v/>
      </c>
      <c r="C39" s="54">
        <f>SUMIF($B$5:$B$24,A39,$G$5:$G$24)</f>
        <v/>
      </c>
      <c r="D39" s="55">
        <f>SUMIF($B$5:$B$24,A39,$I$5:$I$24)</f>
        <v/>
      </c>
      <c r="E39" s="55">
        <f>SUMIF($B$5:$B$24,A39,$P$5:$P$24)</f>
        <v/>
      </c>
      <c r="F39" s="55" t="n"/>
      <c r="G39" s="51">
        <f>IF($F$25=0,0,B39/$F$25)</f>
        <v/>
      </c>
    </row>
    <row r="40" ht="15" customHeight="1" s="39">
      <c r="A40" s="43" t="inlineStr">
        <is>
          <t>Pack de 6</t>
        </is>
      </c>
      <c r="B40" s="54">
        <f>SUMIF($B$5:$B$24,A40,$F$5:$F$24)</f>
        <v/>
      </c>
      <c r="C40" s="54">
        <f>SUMIF($B$5:$B$24,A40,$G$5:$G$24)</f>
        <v/>
      </c>
      <c r="D40" s="55">
        <f>SUMIF($B$5:$B$24,A40,$I$5:$I$24)</f>
        <v/>
      </c>
      <c r="E40" s="55">
        <f>SUMIF($B$5:$B$24,A40,$P$5:$P$24)</f>
        <v/>
      </c>
      <c r="F40" s="55" t="n"/>
      <c r="G40" s="51">
        <f>IF($F$25=0,0,B40/$F$25)</f>
        <v/>
      </c>
    </row>
    <row r="41" ht="15" customHeight="1" s="39">
      <c r="A41" s="43" t="inlineStr">
        <is>
          <t>Pack de 12</t>
        </is>
      </c>
      <c r="B41" s="54">
        <f>SUMIF($B$5:$B$24,A41,$F$5:$F$24)</f>
        <v/>
      </c>
      <c r="C41" s="54">
        <f>SUMIF($B$5:$B$24,A41,$G$5:$G$24)</f>
        <v/>
      </c>
      <c r="D41" s="55">
        <f>SUMIF($B$5:$B$24,A41,$I$5:$I$24)</f>
        <v/>
      </c>
      <c r="E41" s="55">
        <f>SUMIF($B$5:$B$24,A41,$P$5:$P$24)</f>
        <v/>
      </c>
      <c r="F41" s="55" t="n"/>
      <c r="G41" s="51">
        <f>IF($F$25=0,0,B41/$F$25)</f>
        <v/>
      </c>
    </row>
    <row r="42" ht="15" customHeight="1" s="39">
      <c r="A42" s="43" t="inlineStr">
        <is>
          <t>Caja de 3 sabores</t>
        </is>
      </c>
      <c r="B42" s="54">
        <f>SUMIF($B$5:$B$24,A42,$F$5:$F$24)</f>
        <v/>
      </c>
      <c r="C42" s="54">
        <f>SUMIF($B$5:$B$24,A42,$G$5:$G$24)</f>
        <v/>
      </c>
      <c r="D42" s="55">
        <f>SUMIF($B$5:$B$24,A42,$I$5:$I$24)</f>
        <v/>
      </c>
      <c r="E42" s="55">
        <f>SUMIF($B$5:$B$24,A42,$P$5:$P$24)</f>
        <v/>
      </c>
      <c r="F42" s="55" t="n"/>
      <c r="G42" s="51">
        <f>IF($F$25=0,0,B42/$F$25)</f>
        <v/>
      </c>
    </row>
    <row r="44" ht="15" customHeight="1" s="39">
      <c r="A44" s="59" t="inlineStr">
        <is>
          <t>4. Unidades por sabor en el año (para compras de insumos)</t>
        </is>
      </c>
      <c r="B44" s="60" t="n"/>
      <c r="C44" s="60" t="n"/>
      <c r="D44" s="60" t="n"/>
      <c r="E44" s="60" t="n"/>
      <c r="F44" s="60" t="n"/>
      <c r="G44" s="60" t="n"/>
      <c r="H44" s="60" t="n"/>
    </row>
    <row r="45" ht="26.85" customHeight="1" s="39">
      <c r="A45" s="44" t="inlineStr">
        <is>
          <t>Sabor</t>
        </is>
      </c>
      <c r="B45" s="44" t="inlineStr">
        <is>
          <t>% de las unidades</t>
        </is>
      </c>
      <c r="C45" s="44" t="inlineStr">
        <is>
          <t>Unidades en el año</t>
        </is>
      </c>
      <c r="D45" s="44" t="n"/>
      <c r="E45" s="44" t="n"/>
      <c r="F45" s="44" t="n"/>
      <c r="G45" s="44" t="n"/>
      <c r="H45" s="44" t="n"/>
    </row>
    <row r="46" ht="15" customHeight="1" s="39">
      <c r="A46" s="75">
        <f>Supuestos!A79</f>
        <v/>
      </c>
      <c r="B46" s="46">
        <f>Supuestos!B79</f>
        <v/>
      </c>
      <c r="C46" s="54">
        <f>$F$25*B46</f>
        <v/>
      </c>
    </row>
    <row r="47" ht="15" customHeight="1" s="39">
      <c r="A47" s="75">
        <f>Supuestos!A80</f>
        <v/>
      </c>
      <c r="B47" s="46">
        <f>Supuestos!B80</f>
        <v/>
      </c>
      <c r="C47" s="54">
        <f>$F$25*B47</f>
        <v/>
      </c>
    </row>
    <row r="48" ht="15" customHeight="1" s="39">
      <c r="A48" s="75">
        <f>Supuestos!A81</f>
        <v/>
      </c>
      <c r="B48" s="46">
        <f>Supuestos!B81</f>
        <v/>
      </c>
      <c r="C48" s="54">
        <f>$F$25*B48</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2" customWidth="1" style="38" min="1" max="1"/>
    <col width="16" customWidth="1" style="38" min="2" max="2"/>
    <col width="80" customWidth="1" style="38" min="3" max="3"/>
  </cols>
  <sheetData>
    <row r="1" ht="17.35" customHeight="1" s="39">
      <c r="A1" s="40" t="inlineStr">
        <is>
          <t>Inversión inicial: todo lo necesario para vender desde el primer día</t>
        </is>
      </c>
    </row>
    <row r="2" ht="15" customHeight="1" s="39">
      <c r="A2" s="43" t="inlineStr">
        <is>
          <t>Los documentos y permisos se pagan aquí, una sola vez. La proyección (hoja Mensual) supone que ya están listos al empezar las ventas en enero de 2027 (mes 1).</t>
        </is>
      </c>
    </row>
    <row r="4" ht="15" customHeight="1" s="39">
      <c r="A4" s="44" t="inlineStr">
        <is>
          <t>Concepto</t>
        </is>
      </c>
      <c r="B4" s="44" t="inlineStr">
        <is>
          <t>S/ (sin IGV)</t>
        </is>
      </c>
      <c r="C4" s="44" t="inlineStr">
        <is>
          <t>Fuente o nota</t>
        </is>
      </c>
    </row>
    <row r="5" ht="15" customHeight="1" s="39">
      <c r="A5" s="59" t="inlineStr">
        <is>
          <t>1. Documentos y permisos para vender</t>
        </is>
      </c>
      <c r="B5" s="60" t="n"/>
      <c r="C5" s="60" t="n"/>
    </row>
    <row r="6" ht="15" customHeight="1" s="39">
      <c r="A6" s="43" t="inlineStr">
        <is>
          <t>Constitución de AndiBite S.A.C. en un CDE de PRODUCE (notaría)</t>
        </is>
      </c>
      <c r="B6" s="68" t="n">
        <v>150</v>
      </c>
      <c r="C6" s="43" t="inlineStr">
        <is>
          <t>Documento 05</t>
        </is>
      </c>
    </row>
    <row r="7" ht="15" customHeight="1" s="39">
      <c r="A7" s="43" t="inlineStr">
        <is>
          <t>RUC, Régimen MYPE Tributario, REMYPE y libro de reclamaciones virtual</t>
        </is>
      </c>
      <c r="B7" s="68" t="n">
        <v>0</v>
      </c>
      <c r="C7" s="43" t="inlineStr">
        <is>
          <t>SUNAT, PRODUCE e INDECOPI: sin costo</t>
        </is>
      </c>
    </row>
    <row r="8" ht="15" customHeight="1" s="39">
      <c r="A8" s="43" t="inlineStr">
        <is>
          <t>Registro de marca en INDECOPI, clase 30 (tasa MYPE)</t>
        </is>
      </c>
      <c r="B8" s="68" t="n">
        <v>401.2</v>
      </c>
      <c r="C8" s="43" t="inlineStr">
        <is>
          <t>Documento 03</t>
        </is>
      </c>
    </row>
    <row r="9" ht="15" customHeight="1" s="39">
      <c r="A9" s="43" t="inlineStr">
        <is>
          <t>Revisión legal del contrato de maquila (la S.A.C. es titular del registro sanitario)</t>
        </is>
      </c>
      <c r="B9" s="68" t="n">
        <v>400</v>
      </c>
      <c r="C9" s="43" t="inlineStr">
        <is>
          <t>Documento 05</t>
        </is>
      </c>
    </row>
    <row r="10" ht="15" customHeight="1" s="39">
      <c r="A10" s="43" t="inlineStr">
        <is>
          <t>Análisis para el registro sanitario (3 sabores × S/600)</t>
        </is>
      </c>
      <c r="B10" s="68" t="n">
        <v>1800</v>
      </c>
      <c r="C10" s="43" t="inlineStr">
        <is>
          <t>Documento 05</t>
        </is>
      </c>
    </row>
    <row r="11" ht="15" customHeight="1" s="39">
      <c r="A11" s="43" t="inlineStr">
        <is>
          <t>Perfil nutricional y hierro (3 × S/375)</t>
        </is>
      </c>
      <c r="B11" s="68" t="n">
        <v>1125</v>
      </c>
      <c r="C11" s="43" t="inlineStr">
        <is>
          <t>Documento 05</t>
        </is>
      </c>
    </row>
    <row r="12" ht="15" customHeight="1" s="39">
      <c r="A12" s="43" t="inlineStr">
        <is>
          <t>Estudio de vida útil acelerado</t>
        </is>
      </c>
      <c r="B12" s="68" t="n">
        <v>1050</v>
      </c>
      <c r="C12" s="43" t="inlineStr">
        <is>
          <t>Documento 05</t>
        </is>
      </c>
    </row>
    <row r="13" ht="15" customHeight="1" s="39">
      <c r="A13" s="43" t="inlineStr">
        <is>
          <t>Diseño y validación de la etiqueta (rotulado y Ley 30021)</t>
        </is>
      </c>
      <c r="B13" s="68" t="n">
        <v>650</v>
      </c>
      <c r="C13" s="43" t="inlineStr">
        <is>
          <t>Documento 05</t>
        </is>
      </c>
    </row>
    <row r="14" ht="15" customHeight="1" s="39">
      <c r="A14" s="43" t="inlineStr">
        <is>
          <t>Registro sanitario DIGESA (tasa)</t>
        </is>
      </c>
      <c r="B14" s="68" t="n">
        <v>0</v>
      </c>
      <c r="C14" s="43" t="inlineStr">
        <is>
          <t>TUPA 2026: sin costo (Comunicado 05-2026-DIGESA)</t>
        </is>
      </c>
    </row>
    <row r="15" ht="15" customHeight="1" s="39">
      <c r="A15" s="43" t="inlineStr">
        <is>
          <t>Carné de sanidad: requisito para contratar a vendedores y coordinador(a), que ya lo traen vigente</t>
        </is>
      </c>
      <c r="B15" s="68" t="n">
        <v>0</v>
      </c>
      <c r="C15" s="43" t="inlineStr">
        <is>
          <t>Ahorra S/75 (S/9 a 20 por persona, Andina). Verificar con cada mall o municipio que el carné del distrito del trabajador sea válido</t>
        </is>
      </c>
    </row>
    <row r="16" ht="15" customHeight="1" s="39">
      <c r="A16" s="43" t="inlineStr">
        <is>
          <t>Póliza de responsabilidad civil para stands (1 año)</t>
        </is>
      </c>
      <c r="B16" s="76" t="n">
        <v>600</v>
      </c>
      <c r="C16" s="43" t="inlineStr">
        <is>
          <t>[HIPÓTESIS] Cotizar con una aseguradora; algunos malls la piden</t>
        </is>
      </c>
    </row>
    <row r="17" ht="15" customHeight="1" s="39">
      <c r="A17" s="49" t="inlineStr">
        <is>
          <t>Subtotal documentos y permisos</t>
        </is>
      </c>
      <c r="B17" s="72">
        <f>SUM(B6:B16)</f>
        <v/>
      </c>
    </row>
    <row r="18" ht="15" customHeight="1" s="39">
      <c r="A18" s="59" t="inlineStr">
        <is>
          <t>2. Desarrollo del producto</t>
        </is>
      </c>
      <c r="B18" s="60" t="n"/>
      <c r="C18" s="60" t="n"/>
    </row>
    <row r="19" ht="15" customHeight="1" s="39">
      <c r="A19" s="43" t="inlineStr">
        <is>
          <t>Pruebas caseras: insumos de 3 lotes</t>
        </is>
      </c>
      <c r="B19" s="68" t="n">
        <v>942.8099999999999</v>
      </c>
      <c r="C19" s="43" t="inlineStr">
        <is>
          <t>Documento 02</t>
        </is>
      </c>
    </row>
    <row r="20" ht="15" customHeight="1" s="39">
      <c r="A20" s="43" t="inlineStr">
        <is>
          <t>Endulzantes para la versión sin octógono</t>
        </is>
      </c>
      <c r="B20" s="68" t="n">
        <v>148</v>
      </c>
      <c r="C20" s="43" t="inlineStr">
        <is>
          <t>Documento 05</t>
        </is>
      </c>
    </row>
    <row r="21" ht="15" customHeight="1" s="39">
      <c r="A21" s="43" t="inlineStr">
        <is>
          <t>Análisis preliminar de azúcar y hierro (2 × S/375)</t>
        </is>
      </c>
      <c r="B21" s="68" t="n">
        <v>750</v>
      </c>
      <c r="C21" s="43" t="inlineStr">
        <is>
          <t>Documento 05</t>
        </is>
      </c>
    </row>
    <row r="22" ht="15" customHeight="1" s="39">
      <c r="A22" s="43" t="inlineStr">
        <is>
          <t>Prueba sensorial con niños</t>
        </is>
      </c>
      <c r="B22" s="68" t="n">
        <v>150</v>
      </c>
      <c r="C22" s="43" t="inlineStr">
        <is>
          <t>Documento 05</t>
        </is>
      </c>
    </row>
    <row r="23" ht="15" customHeight="1" s="39">
      <c r="A23" s="43" t="inlineStr">
        <is>
          <t>Desarrollo y lote piloto en la planta</t>
        </is>
      </c>
      <c r="B23" s="76" t="n">
        <v>1750</v>
      </c>
      <c r="C23" s="43" t="inlineStr">
        <is>
          <t>[POR CONFIRMAR] Documento 05</t>
        </is>
      </c>
    </row>
    <row r="24" ht="15" customHeight="1" s="39">
      <c r="A24" s="49" t="inlineStr">
        <is>
          <t>Subtotal desarrollo</t>
        </is>
      </c>
      <c r="B24" s="72">
        <f>SUM(B19:B23)</f>
        <v/>
      </c>
    </row>
    <row r="25" ht="15" customHeight="1" s="39">
      <c r="A25" s="59" t="inlineStr">
        <is>
          <t>3. Marca, app y puntos de venta</t>
        </is>
      </c>
      <c r="B25" s="60" t="n"/>
      <c r="C25" s="60" t="n"/>
    </row>
    <row r="26" ht="15" customHeight="1" s="39">
      <c r="A26" s="43" t="inlineStr">
        <is>
          <t>Identidad de marca</t>
        </is>
      </c>
      <c r="B26" s="68" t="n">
        <v>800</v>
      </c>
      <c r="C26" s="43" t="inlineStr">
        <is>
          <t>Documento 05</t>
        </is>
      </c>
    </row>
    <row r="27" ht="15" customHeight="1" s="39">
      <c r="A27" s="43" t="inlineStr">
        <is>
          <t>Fotos de producto</t>
        </is>
      </c>
      <c r="B27" s="68" t="n">
        <v>300</v>
      </c>
      <c r="C27" s="43" t="inlineStr">
        <is>
          <t>Documento 05</t>
        </is>
      </c>
    </row>
    <row r="28" ht="15" customHeight="1" s="39">
      <c r="A28" s="43" t="inlineStr">
        <is>
          <t>Web, dominio y app Andi, Misión Hierro (terminar, probar con familias y publicar)</t>
        </is>
      </c>
      <c r="B28" s="68" t="n">
        <v>2150</v>
      </c>
      <c r="C28" s="43" t="inlineStr">
        <is>
          <t>Web y dominio S/150 (documento 05) más S/2,000 para la app: el prototipo funcional ya está hecho (carpeta app-andi-mision-hierro); falta conectar el laboratorio real, probar con 10 familias, revisión legal y publicación (documento 09)</t>
        </is>
      </c>
    </row>
    <row r="29" ht="15" customHeight="1" s="39">
      <c r="A29" s="49" t="inlineStr">
        <is>
          <t>Subtotal marca</t>
        </is>
      </c>
      <c r="B29" s="72">
        <f>SUM(B26:B28)</f>
        <v/>
      </c>
    </row>
    <row r="30" ht="15" customHeight="1" s="39">
      <c r="A30" s="59" t="inlineStr">
        <is>
          <t>4. Arranque de la operación</t>
        </is>
      </c>
      <c r="B30" s="60" t="n"/>
      <c r="C30" s="60" t="n"/>
    </row>
    <row r="31" ht="15" customHeight="1" s="39">
      <c r="A31" s="43" t="inlineStr">
        <is>
          <t>Empaque inicial (mínimos de compra)</t>
        </is>
      </c>
      <c r="B31" s="68" t="n">
        <v>3150</v>
      </c>
      <c r="C31" s="43" t="inlineStr">
        <is>
          <t>Documento 05, más S/120 de los códigos únicos de la app en las primeras 3,000 etiquetas</t>
        </is>
      </c>
    </row>
    <row r="32" ht="15" customHeight="1" s="39">
      <c r="A32" s="43" t="inlineStr">
        <is>
          <t>Stock inicial para enero y febrero</t>
        </is>
      </c>
      <c r="B32" s="68" t="n">
        <v>4800.7</v>
      </c>
      <c r="C32" s="43" t="inlineStr">
        <is>
          <t>Documento 05, actualizado al costo con sangrecita en polvo (pack de 6 de S/8.29 a S/9.62)</t>
        </is>
      </c>
    </row>
    <row r="33" ht="15" customHeight="1" s="39">
      <c r="A33" s="43" t="inlineStr">
        <is>
          <t>Marketing de lanzamiento (video maestro, concurso #LoQueNadieVe, influencers, muestras, POP)</t>
        </is>
      </c>
      <c r="B33" s="68" t="n">
        <v>3204</v>
      </c>
      <c r="C33" s="43" t="inlineStr">
        <is>
          <t>Documento 05</t>
        </is>
      </c>
    </row>
    <row r="34" ht="15" customHeight="1" s="39">
      <c r="A34" s="43" t="inlineStr">
        <is>
          <t>Capital de trabajo (2 meses)</t>
        </is>
      </c>
      <c r="B34" s="68" t="n">
        <v>8000</v>
      </c>
      <c r="C34" s="43" t="inlineStr">
        <is>
          <t>Documento 05</t>
        </is>
      </c>
    </row>
    <row r="35" ht="15" customHeight="1" s="39">
      <c r="A35" s="49" t="inlineStr">
        <is>
          <t>Subtotal arranque</t>
        </is>
      </c>
      <c r="B35" s="72">
        <f>SUM(B31:B34)</f>
        <v/>
      </c>
    </row>
    <row r="36" ht="15" customHeight="1" s="39">
      <c r="A36" s="59" t="inlineStr">
        <is>
          <t>5. Activos que se deprecian</t>
        </is>
      </c>
      <c r="B36" s="60" t="n"/>
      <c r="C36" s="60" t="n"/>
    </row>
    <row r="37" ht="15" customHeight="1" s="39">
      <c r="A37" s="49" t="inlineStr">
        <is>
          <t>Equipos mínimos y carrito de exhibición con gráfica</t>
        </is>
      </c>
      <c r="B37" s="72">
        <f>B38+B39</f>
        <v/>
      </c>
    </row>
    <row r="38" ht="15" customHeight="1" s="39">
      <c r="A38" s="43" t="inlineStr">
        <is>
          <t>Equipos mínimos (balanza, selladora, coolers, kit de feria, POS)</t>
        </is>
      </c>
      <c r="B38" s="68" t="n">
        <v>2338</v>
      </c>
      <c r="C38" s="43" t="inlineStr">
        <is>
          <t>Documento 05</t>
        </is>
      </c>
    </row>
    <row r="39" ht="15" customHeight="1" s="39">
      <c r="A39" s="43" t="inlineStr">
        <is>
          <t>1 carrito de exhibición con vitrina y gráfica (los otros puntos usan el kit de feria o el módulo del mall)</t>
        </is>
      </c>
      <c r="B39" s="68" t="n">
        <v>2500</v>
      </c>
      <c r="C39" s="43" t="inlineStr">
        <is>
          <t>Melamina a medida S/1,150 a 1,350 por metro lineal, más vitrina y gráfica (documento 08)</t>
        </is>
      </c>
    </row>
    <row r="41" ht="15" customHeight="1" s="39">
      <c r="A41" s="43" t="inlineStr">
        <is>
          <t>Imprevistos (10 % de todo lo anterior)</t>
        </is>
      </c>
      <c r="B41" s="52">
        <f>0.1*(B17+B24+B29+B35+B37)</f>
        <v/>
      </c>
    </row>
    <row r="42" ht="15" customHeight="1" s="39">
      <c r="A42" s="49" t="inlineStr">
        <is>
          <t>INVERSIÓN TOTAL</t>
        </is>
      </c>
      <c r="B42" s="72">
        <f>B17+B24+B29+B35+B37+B41</f>
        <v/>
      </c>
    </row>
    <row r="44" ht="15" customHeight="1" s="39">
      <c r="A44" s="59" t="inlineStr">
        <is>
          <t>Financiamiento</t>
        </is>
      </c>
      <c r="B44" s="60" t="n"/>
      <c r="C44" s="60" t="n"/>
    </row>
    <row r="45" ht="15" customHeight="1" s="39">
      <c r="A45" s="44" t="inlineStr">
        <is>
          <t>Fuente</t>
        </is>
      </c>
      <c r="B45" s="44" t="inlineStr">
        <is>
          <t>S/</t>
        </is>
      </c>
      <c r="C45" s="44" t="inlineStr">
        <is>
          <t>Nota</t>
        </is>
      </c>
    </row>
    <row r="46" ht="15" customHeight="1" s="39">
      <c r="A46" s="43" t="inlineStr">
        <is>
          <t>Aporte de los 5 socios</t>
        </is>
      </c>
      <c r="B46" s="68" t="n">
        <v>25000</v>
      </c>
      <c r="C46" s="43" t="inlineStr">
        <is>
          <t>S/5,000 cada uno (documento 05)</t>
        </is>
      </c>
    </row>
    <row r="47" ht="15" customHeight="1" s="39">
      <c r="A47" s="43" t="inlineStr">
        <is>
          <t>Préstamo</t>
        </is>
      </c>
      <c r="B47" s="52">
        <f>MAX(0,CEILING(B42-B46,500))</f>
        <v/>
      </c>
      <c r="C47" s="43" t="inlineStr">
        <is>
          <t>Lo que falta, redondeado a S/500</t>
        </is>
      </c>
    </row>
    <row r="48" ht="15" customHeight="1" s="39">
      <c r="A48" s="43" t="inlineStr">
        <is>
          <t>Tasa efectiva anual del préstamo</t>
        </is>
      </c>
      <c r="B48" s="69" t="n">
        <v>0.35</v>
      </c>
      <c r="C48" s="43" t="inlineStr">
        <is>
          <t>[POR CONFIRMAR] Comparar tasas de microempresa en la SBS</t>
        </is>
      </c>
    </row>
    <row r="49" ht="15" customHeight="1" s="39">
      <c r="A49" s="43" t="inlineStr">
        <is>
          <t>Número de cuotas mensuales</t>
        </is>
      </c>
      <c r="B49" s="67" t="n">
        <v>24</v>
      </c>
      <c r="C49" s="43" t="inlineStr">
        <is>
          <t>24 cuotas: con 12, la cuota (unos S/1,560) se come la caja de los primeros meses</t>
        </is>
      </c>
    </row>
    <row r="50" ht="15" customHeight="1" s="39">
      <c r="A50" s="43" t="inlineStr">
        <is>
          <t>Cuota mensual</t>
        </is>
      </c>
      <c r="B50" s="52">
        <f>PMT((1+B48)^(1/12)-1,B49,-B47)</f>
        <v/>
      </c>
    </row>
    <row r="51" ht="15" customHeight="1" s="39">
      <c r="A51" s="43" t="inlineStr">
        <is>
          <t>Intereses totales del préstamo</t>
        </is>
      </c>
      <c r="B51" s="52">
        <f>B50*B49-B47</f>
        <v/>
      </c>
    </row>
    <row r="52" ht="15" customHeight="1" s="39">
      <c r="A52" s="43" t="inlineStr">
        <is>
          <t>Caja que sobra después de financiar la inversión</t>
        </is>
      </c>
      <c r="B52" s="52">
        <f>B46+B47-B42</f>
        <v/>
      </c>
    </row>
    <row r="53" ht="15" customHeight="1" s="39">
      <c r="A53" s="43" t="inlineStr">
        <is>
          <t>Línea de crédito de respaldo (no se usa en el plan base)</t>
        </is>
      </c>
      <c r="B53" s="68" t="n">
        <v>3000</v>
      </c>
      <c r="C53" s="43" t="inlineStr">
        <is>
          <t>Se abre con el banco del préstamo y solo se usa si las ventas bajan (con 20 % menos ventas por punto la caja más baja del año 1 llegaría a unos −S/2,200). Sin costo mientras no se use [POR CONFIRMAR con el banco]</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N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mensual del año 1 (mes 1 = enero de 2027), escenario base</t>
        </is>
      </c>
    </row>
    <row r="2" ht="15" customHeight="1" s="39">
      <c r="A2" s="43" t="inlineStr">
        <is>
          <t>Supone que los documentos y permisos ya están listos (su costo está en la hoja Inversion). La venta física es el canal principal; WhatsApp queda para la recompra. Cambie los datos azules para probar otro escenario.</t>
        </is>
      </c>
    </row>
    <row r="4" ht="30" customHeight="1" s="39">
      <c r="A4" s="44" t="inlineStr">
        <is>
          <t>Actividad comercial del mes (datos)</t>
        </is>
      </c>
      <c r="B4" s="44" t="inlineStr">
        <is>
          <t>M1 Ene-27</t>
        </is>
      </c>
      <c r="C4" s="44" t="inlineStr">
        <is>
          <t>M2 Feb-27</t>
        </is>
      </c>
      <c r="D4" s="44" t="inlineStr">
        <is>
          <t>M3 Mar-27</t>
        </is>
      </c>
      <c r="E4" s="44" t="inlineStr">
        <is>
          <t>M4 Abr-27</t>
        </is>
      </c>
      <c r="F4" s="44" t="inlineStr">
        <is>
          <t>M5 May-27</t>
        </is>
      </c>
      <c r="G4" s="44" t="inlineStr">
        <is>
          <t>M6 Jun-27</t>
        </is>
      </c>
      <c r="H4" s="44" t="inlineStr">
        <is>
          <t>M7 Jul-27</t>
        </is>
      </c>
      <c r="I4" s="44" t="inlineStr">
        <is>
          <t>M8 Ago-27</t>
        </is>
      </c>
      <c r="J4" s="44" t="inlineStr">
        <is>
          <t>M9 Set-27</t>
        </is>
      </c>
      <c r="K4" s="44" t="inlineStr">
        <is>
          <t>M10 Oct-27</t>
        </is>
      </c>
      <c r="L4" s="44" t="inlineStr">
        <is>
          <t>M11 Nov-27</t>
        </is>
      </c>
      <c r="M4" s="44" t="inlineStr">
        <is>
          <t>M12 Dic-27</t>
        </is>
      </c>
      <c r="N4" s="44" t="inlineStr">
        <is>
          <t>Total año</t>
        </is>
      </c>
    </row>
    <row r="5" ht="15" customHeight="1" s="39">
      <c r="A5" s="43" t="inlineStr">
        <is>
          <t>Puntos de venta con stand o carrito (fines de semana)</t>
        </is>
      </c>
      <c r="B5" s="67" t="n">
        <v>1</v>
      </c>
      <c r="C5" s="67" t="n">
        <v>2</v>
      </c>
      <c r="D5" s="67" t="n">
        <v>2</v>
      </c>
      <c r="E5" s="67" t="n">
        <v>2</v>
      </c>
      <c r="F5" s="67" t="n">
        <v>2</v>
      </c>
      <c r="G5" s="67" t="n">
        <v>2</v>
      </c>
      <c r="H5" s="67" t="n">
        <v>2</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(meta: 80 o más)</t>
        </is>
      </c>
      <c r="B7" s="67" t="n">
        <v>50</v>
      </c>
      <c r="C7" s="67" t="n">
        <v>80</v>
      </c>
      <c r="D7" s="67" t="n">
        <v>100</v>
      </c>
      <c r="E7" s="67" t="n">
        <v>80</v>
      </c>
      <c r="F7" s="67" t="n">
        <v>85</v>
      </c>
      <c r="G7" s="67" t="n">
        <v>80</v>
      </c>
      <c r="H7" s="67" t="n">
        <v>85</v>
      </c>
      <c r="I7" s="67" t="n">
        <v>85</v>
      </c>
      <c r="J7" s="67" t="n">
        <v>90</v>
      </c>
      <c r="K7" s="67" t="n">
        <v>90</v>
      </c>
      <c r="L7" s="67" t="n">
        <v>90</v>
      </c>
      <c r="M7" s="67" t="n">
        <v>90</v>
      </c>
      <c r="N7" s="54">
        <f>SUM(B7:M7)</f>
        <v/>
      </c>
    </row>
    <row r="8" ht="15" customHeight="1" s="39">
      <c r="A8" s="43" t="inlineStr">
        <is>
          <t>Ferias pagadas en el mes (campaña escolar en febrero y Día del Niño en abril)</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1</v>
      </c>
      <c r="C9" s="67" t="n">
        <v>2</v>
      </c>
      <c r="D9" s="67" t="n">
        <v>4</v>
      </c>
      <c r="E9" s="67" t="n">
        <v>4</v>
      </c>
      <c r="F9" s="67" t="n">
        <v>5</v>
      </c>
      <c r="G9" s="67" t="n">
        <v>4</v>
      </c>
      <c r="H9" s="67" t="n">
        <v>3</v>
      </c>
      <c r="I9" s="67" t="n">
        <v>4</v>
      </c>
      <c r="J9" s="67" t="n">
        <v>4</v>
      </c>
      <c r="K9" s="67" t="n">
        <v>4</v>
      </c>
      <c r="L9" s="67" t="n">
        <v>3</v>
      </c>
      <c r="M9" s="67" t="n">
        <v>2</v>
      </c>
      <c r="N9" s="54">
        <f>SUM(B9:M9)</f>
        <v/>
      </c>
    </row>
    <row r="10" ht="15" customHeight="1" s="39">
      <c r="A10" s="43" t="inlineStr">
        <is>
          <t>Unidades a colegios (quiosco; año escolar de marzo a mediados de diciembre)</t>
        </is>
      </c>
      <c r="B10" s="71" t="n">
        <v>0</v>
      </c>
      <c r="C10" s="71" t="n">
        <v>0</v>
      </c>
      <c r="D10" s="71" t="n">
        <v>300</v>
      </c>
      <c r="E10" s="71" t="n">
        <v>600</v>
      </c>
      <c r="F10" s="71" t="n">
        <v>765</v>
      </c>
      <c r="G10" s="71" t="n">
        <v>900</v>
      </c>
      <c r="H10" s="71" t="n">
        <v>600</v>
      </c>
      <c r="I10" s="71" t="n">
        <v>1200</v>
      </c>
      <c r="J10" s="71" t="n">
        <v>1200</v>
      </c>
      <c r="K10" s="71" t="n">
        <v>1500</v>
      </c>
      <c r="L10" s="71" t="n">
        <v>1500</v>
      </c>
      <c r="M10" s="71" t="n">
        <v>600</v>
      </c>
      <c r="N10" s="54">
        <f>SUM(B10:M10)</f>
        <v/>
      </c>
    </row>
    <row r="11" ht="15" customHeight="1" s="39">
      <c r="A11" s="43" t="inlineStr">
        <is>
          <t>Unidades a tiendas naturistas</t>
        </is>
      </c>
      <c r="B11" s="71" t="n">
        <v>120</v>
      </c>
      <c r="C11" s="71" t="n">
        <v>180</v>
      </c>
      <c r="D11" s="71" t="n">
        <v>180</v>
      </c>
      <c r="E11" s="71" t="n">
        <v>240</v>
      </c>
      <c r="F11" s="71" t="n">
        <v>300</v>
      </c>
      <c r="G11" s="71" t="n">
        <v>300</v>
      </c>
      <c r="H11" s="71" t="n">
        <v>360</v>
      </c>
      <c r="I11" s="71" t="n">
        <v>360</v>
      </c>
      <c r="J11" s="71" t="n">
        <v>360</v>
      </c>
      <c r="K11" s="71" t="n">
        <v>420</v>
      </c>
      <c r="L11" s="71" t="n">
        <v>420</v>
      </c>
      <c r="M11" s="71" t="n">
        <v>480</v>
      </c>
      <c r="N11" s="54">
        <f>SUM(B11:M11)</f>
        <v/>
      </c>
    </row>
    <row r="13" ht="30" customHeight="1" s="39">
      <c r="A13" s="44" t="inlineStr">
        <is>
          <t>Unidades vendidas por canal</t>
        </is>
      </c>
      <c r="B13" s="44" t="inlineStr">
        <is>
          <t>M1 Ene-27</t>
        </is>
      </c>
      <c r="C13" s="44" t="inlineStr">
        <is>
          <t>M2 Feb-27</t>
        </is>
      </c>
      <c r="D13" s="44" t="inlineStr">
        <is>
          <t>M3 Mar-27</t>
        </is>
      </c>
      <c r="E13" s="44" t="inlineStr">
        <is>
          <t>M4 Abr-27</t>
        </is>
      </c>
      <c r="F13" s="44" t="inlineStr">
        <is>
          <t>M5 May-27</t>
        </is>
      </c>
      <c r="G13" s="44" t="inlineStr">
        <is>
          <t>M6 Jun-27</t>
        </is>
      </c>
      <c r="H13" s="44" t="inlineStr">
        <is>
          <t>M7 Jul-27</t>
        </is>
      </c>
      <c r="I13" s="44" t="inlineStr">
        <is>
          <t>M8 Ago-27</t>
        </is>
      </c>
      <c r="J13" s="44" t="inlineStr">
        <is>
          <t>M9 Set-27</t>
        </is>
      </c>
      <c r="K13" s="44" t="inlineStr">
        <is>
          <t>M10 Oct-27</t>
        </is>
      </c>
      <c r="L13" s="44" t="inlineStr">
        <is>
          <t>M11 Nov-27</t>
        </is>
      </c>
      <c r="M13" s="44" t="inlineStr">
        <is>
          <t>M12 Dic-27</t>
        </is>
      </c>
      <c r="N13" s="44" t="inlineStr">
        <is>
          <t>Total año</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Supuestos!$B$66</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Producción que hay que pedir a la planta</t>
        </is>
      </c>
      <c r="B21" s="60" t="n"/>
      <c r="C21" s="60" t="n"/>
      <c r="D21" s="60" t="n"/>
      <c r="E21" s="60" t="n"/>
      <c r="F21" s="60" t="n"/>
      <c r="G21" s="60" t="n"/>
      <c r="H21" s="60" t="n"/>
      <c r="I21" s="60" t="n"/>
      <c r="J21" s="60" t="n"/>
      <c r="K21" s="60" t="n"/>
      <c r="L21" s="60" t="n"/>
      <c r="M21" s="60" t="n"/>
      <c r="N21" s="60" t="n"/>
    </row>
    <row r="22" ht="15" customHeight="1" s="39">
      <c r="A22" s="43" t="inlineStr">
        <is>
          <t>Unidades individuales sueltas</t>
        </is>
      </c>
      <c r="B22" s="47">
        <f>SUMPRODUCT(B$14:B$18,Supuestos!$B$48:$B$52)</f>
        <v/>
      </c>
      <c r="C22" s="47">
        <f>SUMPRODUCT(C$14:C$18,Supuestos!$B$48:$B$52)</f>
        <v/>
      </c>
      <c r="D22" s="47">
        <f>SUMPRODUCT(D$14:D$18,Supuestos!$B$48:$B$52)</f>
        <v/>
      </c>
      <c r="E22" s="47">
        <f>SUMPRODUCT(E$14:E$18,Supuestos!$B$48:$B$52)</f>
        <v/>
      </c>
      <c r="F22" s="47">
        <f>SUMPRODUCT(F$14:F$18,Supuestos!$B$48:$B$52)</f>
        <v/>
      </c>
      <c r="G22" s="47">
        <f>SUMPRODUCT(G$14:G$18,Supuestos!$B$48:$B$52)</f>
        <v/>
      </c>
      <c r="H22" s="47">
        <f>SUMPRODUCT(H$14:H$18,Supuestos!$B$48:$B$52)</f>
        <v/>
      </c>
      <c r="I22" s="47">
        <f>SUMPRODUCT(I$14:I$18,Supuestos!$B$48:$B$52)</f>
        <v/>
      </c>
      <c r="J22" s="47">
        <f>SUMPRODUCT(J$14:J$18,Supuestos!$B$48:$B$52)</f>
        <v/>
      </c>
      <c r="K22" s="47">
        <f>SUMPRODUCT(K$14:K$18,Supuestos!$B$48:$B$52)</f>
        <v/>
      </c>
      <c r="L22" s="47">
        <f>SUMPRODUCT(L$14:L$18,Supuestos!$B$48:$B$52)</f>
        <v/>
      </c>
      <c r="M22" s="47">
        <f>SUMPRODUCT(M$14:M$18,Supuestos!$B$48:$B$52)</f>
        <v/>
      </c>
      <c r="N22" s="54">
        <f>SUM(B22:M22)</f>
        <v/>
      </c>
    </row>
    <row r="23" ht="15" customHeight="1" s="39">
      <c r="A23" s="43" t="inlineStr">
        <is>
          <t>Unidades que van en packs de 6</t>
        </is>
      </c>
      <c r="B23" s="47">
        <f>SUMPRODUCT(B$14:B$18,Supuestos!$C$48:$C$52)</f>
        <v/>
      </c>
      <c r="C23" s="47">
        <f>SUMPRODUCT(C$14:C$18,Supuestos!$C$48:$C$52)</f>
        <v/>
      </c>
      <c r="D23" s="47">
        <f>SUMPRODUCT(D$14:D$18,Supuestos!$C$48:$C$52)</f>
        <v/>
      </c>
      <c r="E23" s="47">
        <f>SUMPRODUCT(E$14:E$18,Supuestos!$C$48:$C$52)</f>
        <v/>
      </c>
      <c r="F23" s="47">
        <f>SUMPRODUCT(F$14:F$18,Supuestos!$C$48:$C$52)</f>
        <v/>
      </c>
      <c r="G23" s="47">
        <f>SUMPRODUCT(G$14:G$18,Supuestos!$C$48:$C$52)</f>
        <v/>
      </c>
      <c r="H23" s="47">
        <f>SUMPRODUCT(H$14:H$18,Supuestos!$C$48:$C$52)</f>
        <v/>
      </c>
      <c r="I23" s="47">
        <f>SUMPRODUCT(I$14:I$18,Supuestos!$C$48:$C$52)</f>
        <v/>
      </c>
      <c r="J23" s="47">
        <f>SUMPRODUCT(J$14:J$18,Supuestos!$C$48:$C$52)</f>
        <v/>
      </c>
      <c r="K23" s="47">
        <f>SUMPRODUCT(K$14:K$18,Supuestos!$C$48:$C$52)</f>
        <v/>
      </c>
      <c r="L23" s="47">
        <f>SUMPRODUCT(L$14:L$18,Supuestos!$C$48:$C$52)</f>
        <v/>
      </c>
      <c r="M23" s="47">
        <f>SUMPRODUCT(M$14:M$18,Supuestos!$C$48:$C$52)</f>
        <v/>
      </c>
      <c r="N23" s="54">
        <f>SUM(B23:M23)</f>
        <v/>
      </c>
    </row>
    <row r="24" ht="15" customHeight="1" s="39">
      <c r="A24" s="43" t="inlineStr">
        <is>
          <t>Unidades que van en packs de 12</t>
        </is>
      </c>
      <c r="B24" s="47">
        <f>SUMPRODUCT(B$14:B$18,Supuestos!$D$48:$D$52)</f>
        <v/>
      </c>
      <c r="C24" s="47">
        <f>SUMPRODUCT(C$14:C$18,Supuestos!$D$48:$D$52)</f>
        <v/>
      </c>
      <c r="D24" s="47">
        <f>SUMPRODUCT(D$14:D$18,Supuestos!$D$48:$D$52)</f>
        <v/>
      </c>
      <c r="E24" s="47">
        <f>SUMPRODUCT(E$14:E$18,Supuestos!$D$48:$D$52)</f>
        <v/>
      </c>
      <c r="F24" s="47">
        <f>SUMPRODUCT(F$14:F$18,Supuestos!$D$48:$D$52)</f>
        <v/>
      </c>
      <c r="G24" s="47">
        <f>SUMPRODUCT(G$14:G$18,Supuestos!$D$48:$D$52)</f>
        <v/>
      </c>
      <c r="H24" s="47">
        <f>SUMPRODUCT(H$14:H$18,Supuestos!$D$48:$D$52)</f>
        <v/>
      </c>
      <c r="I24" s="47">
        <f>SUMPRODUCT(I$14:I$18,Supuestos!$D$48:$D$52)</f>
        <v/>
      </c>
      <c r="J24" s="47">
        <f>SUMPRODUCT(J$14:J$18,Supuestos!$D$48:$D$52)</f>
        <v/>
      </c>
      <c r="K24" s="47">
        <f>SUMPRODUCT(K$14:K$18,Supuestos!$D$48:$D$52)</f>
        <v/>
      </c>
      <c r="L24" s="47">
        <f>SUMPRODUCT(L$14:L$18,Supuestos!$D$48:$D$52)</f>
        <v/>
      </c>
      <c r="M24" s="47">
        <f>SUMPRODUCT(M$14:M$18,Supuestos!$D$48:$D$52)</f>
        <v/>
      </c>
      <c r="N24" s="54">
        <f>SUM(B24:M24)</f>
        <v/>
      </c>
    </row>
    <row r="25" ht="15" customHeight="1" s="39">
      <c r="A25" s="43" t="inlineStr">
        <is>
          <t>Packs de 6 a armar</t>
        </is>
      </c>
      <c r="B25" s="54">
        <f>B23/Costeo!$C$5</f>
        <v/>
      </c>
      <c r="C25" s="54">
        <f>C23/Costeo!$C$5</f>
        <v/>
      </c>
      <c r="D25" s="54">
        <f>D23/Costeo!$C$5</f>
        <v/>
      </c>
      <c r="E25" s="54">
        <f>E23/Costeo!$C$5</f>
        <v/>
      </c>
      <c r="F25" s="54">
        <f>F23/Costeo!$C$5</f>
        <v/>
      </c>
      <c r="G25" s="54">
        <f>G23/Costeo!$C$5</f>
        <v/>
      </c>
      <c r="H25" s="54">
        <f>H23/Costeo!$C$5</f>
        <v/>
      </c>
      <c r="I25" s="54">
        <f>I23/Costeo!$C$5</f>
        <v/>
      </c>
      <c r="J25" s="54">
        <f>J23/Costeo!$C$5</f>
        <v/>
      </c>
      <c r="K25" s="54">
        <f>K23/Costeo!$C$5</f>
        <v/>
      </c>
      <c r="L25" s="54">
        <f>L23/Costeo!$C$5</f>
        <v/>
      </c>
      <c r="M25" s="54">
        <f>M23/Costeo!$C$5</f>
        <v/>
      </c>
      <c r="N25" s="54">
        <f>SUM(B25:M25)</f>
        <v/>
      </c>
    </row>
    <row r="26" ht="15" customHeight="1" s="39">
      <c r="A26" s="43" t="inlineStr">
        <is>
          <t>Packs de 12 a armar</t>
        </is>
      </c>
      <c r="B26" s="54">
        <f>B24/Costeo!$E$5</f>
        <v/>
      </c>
      <c r="C26" s="54">
        <f>C24/Costeo!$E$5</f>
        <v/>
      </c>
      <c r="D26" s="54">
        <f>D24/Costeo!$E$5</f>
        <v/>
      </c>
      <c r="E26" s="54">
        <f>E24/Costeo!$E$5</f>
        <v/>
      </c>
      <c r="F26" s="54">
        <f>F24/Costeo!$E$5</f>
        <v/>
      </c>
      <c r="G26" s="54">
        <f>G24/Costeo!$E$5</f>
        <v/>
      </c>
      <c r="H26" s="54">
        <f>H24/Costeo!$E$5</f>
        <v/>
      </c>
      <c r="I26" s="54">
        <f>I24/Costeo!$E$5</f>
        <v/>
      </c>
      <c r="J26" s="54">
        <f>J24/Costeo!$E$5</f>
        <v/>
      </c>
      <c r="K26" s="54">
        <f>K24/Costeo!$E$5</f>
        <v/>
      </c>
      <c r="L26" s="54">
        <f>L24/Costeo!$E$5</f>
        <v/>
      </c>
      <c r="M26" s="54">
        <f>M24/Costeo!$E$5</f>
        <v/>
      </c>
      <c r="N26" s="54">
        <f>SUM(B26:M26)</f>
        <v/>
      </c>
    </row>
    <row r="28" ht="15" customHeight="1" s="39">
      <c r="A28" s="59" t="inlineStr">
        <is>
          <t>Resultado mensual (S/ sin IGV, salvo la primera fila)</t>
        </is>
      </c>
      <c r="B28" s="60" t="n"/>
      <c r="C28" s="60" t="n"/>
      <c r="D28" s="60" t="n"/>
      <c r="E28" s="60" t="n"/>
      <c r="F28" s="60" t="n"/>
      <c r="G28" s="60" t="n"/>
      <c r="H28" s="60" t="n"/>
      <c r="I28" s="60" t="n"/>
      <c r="J28" s="60" t="n"/>
      <c r="K28" s="60" t="n"/>
      <c r="L28" s="60" t="n"/>
      <c r="M28" s="60" t="n"/>
      <c r="N28" s="60" t="n"/>
    </row>
    <row r="29" ht="15" customHeight="1" s="39">
      <c r="A29" s="43" t="inlineStr">
        <is>
          <t>Ventas con IGV</t>
        </is>
      </c>
      <c r="B29" s="48">
        <f>SUMPRODUCT(B$14:B$18,Proyeccion!$H$30:$H$34)</f>
        <v/>
      </c>
      <c r="C29" s="48">
        <f>SUMPRODUCT(C$14:C$18,Proyeccion!$H$30:$H$34)</f>
        <v/>
      </c>
      <c r="D29" s="48">
        <f>SUMPRODUCT(D$14:D$18,Proyeccion!$H$30:$H$34)</f>
        <v/>
      </c>
      <c r="E29" s="48">
        <f>SUMPRODUCT(E$14:E$18,Proyeccion!$H$30:$H$34)</f>
        <v/>
      </c>
      <c r="F29" s="48">
        <f>SUMPRODUCT(F$14:F$18,Proyeccion!$H$30:$H$34)</f>
        <v/>
      </c>
      <c r="G29" s="48">
        <f>SUMPRODUCT(G$14:G$18,Proyeccion!$H$30:$H$34)</f>
        <v/>
      </c>
      <c r="H29" s="48">
        <f>SUMPRODUCT(H$14:H$18,Proyeccion!$H$30:$H$34)</f>
        <v/>
      </c>
      <c r="I29" s="48">
        <f>SUMPRODUCT(I$14:I$18,Proyeccion!$H$30:$H$34)</f>
        <v/>
      </c>
      <c r="J29" s="48">
        <f>SUMPRODUCT(J$14:J$18,Proyeccion!$H$30:$H$34)</f>
        <v/>
      </c>
      <c r="K29" s="48">
        <f>SUMPRODUCT(K$14:K$18,Proyeccion!$H$30:$H$34)</f>
        <v/>
      </c>
      <c r="L29" s="48">
        <f>SUMPRODUCT(L$14:L$18,Proyeccion!$H$30:$H$34)</f>
        <v/>
      </c>
      <c r="M29" s="48">
        <f>SUMPRODUCT(M$14:M$18,Proyeccion!$H$30:$H$34)</f>
        <v/>
      </c>
      <c r="N29" s="55">
        <f>SUM(B29:M29)</f>
        <v/>
      </c>
    </row>
    <row r="30" ht="15" customHeight="1" s="39">
      <c r="A30" s="43" t="inlineStr">
        <is>
          <t>Ventas sin IGV</t>
        </is>
      </c>
      <c r="B30" s="55">
        <f>B29/(1+Supuestos!$B$26)</f>
        <v/>
      </c>
      <c r="C30" s="55">
        <f>C29/(1+Supuestos!$B$26)</f>
        <v/>
      </c>
      <c r="D30" s="55">
        <f>D29/(1+Supuestos!$B$26)</f>
        <v/>
      </c>
      <c r="E30" s="55">
        <f>E29/(1+Supuestos!$B$26)</f>
        <v/>
      </c>
      <c r="F30" s="55">
        <f>F29/(1+Supuestos!$B$26)</f>
        <v/>
      </c>
      <c r="G30" s="55">
        <f>G29/(1+Supuestos!$B$26)</f>
        <v/>
      </c>
      <c r="H30" s="55">
        <f>H29/(1+Supuestos!$B$26)</f>
        <v/>
      </c>
      <c r="I30" s="55">
        <f>I29/(1+Supuestos!$B$26)</f>
        <v/>
      </c>
      <c r="J30" s="55">
        <f>J29/(1+Supuestos!$B$26)</f>
        <v/>
      </c>
      <c r="K30" s="55">
        <f>K29/(1+Supuestos!$B$26)</f>
        <v/>
      </c>
      <c r="L30" s="55">
        <f>L29/(1+Supuestos!$B$26)</f>
        <v/>
      </c>
      <c r="M30" s="55">
        <f>M29/(1+Supuestos!$B$26)</f>
        <v/>
      </c>
      <c r="N30" s="55">
        <f>SUM(B30:M30)</f>
        <v/>
      </c>
    </row>
    <row r="31" ht="15" customHeight="1" s="39">
      <c r="A31" s="43" t="inlineStr">
        <is>
          <t>Contribución con pack de 6</t>
        </is>
      </c>
      <c r="B31" s="48">
        <f>SUMPRODUCT(B$14:B$18,Proyeccion!$F$30:$F$34)</f>
        <v/>
      </c>
      <c r="C31" s="48">
        <f>SUMPRODUCT(C$14:C$18,Proyeccion!$F$30:$F$34)</f>
        <v/>
      </c>
      <c r="D31" s="48">
        <f>SUMPRODUCT(D$14:D$18,Proyeccion!$F$30:$F$34)</f>
        <v/>
      </c>
      <c r="E31" s="48">
        <f>SUMPRODUCT(E$14:E$18,Proyeccion!$F$30:$F$34)</f>
        <v/>
      </c>
      <c r="F31" s="48">
        <f>SUMPRODUCT(F$14:F$18,Proyeccion!$F$30:$F$34)</f>
        <v/>
      </c>
      <c r="G31" s="48">
        <f>SUMPRODUCT(G$14:G$18,Proyeccion!$F$30:$F$34)</f>
        <v/>
      </c>
      <c r="H31" s="48">
        <f>SUMPRODUCT(H$14:H$18,Proyeccion!$F$30:$F$34)</f>
        <v/>
      </c>
      <c r="I31" s="48">
        <f>SUMPRODUCT(I$14:I$18,Proyeccion!$F$30:$F$34)</f>
        <v/>
      </c>
      <c r="J31" s="48">
        <f>SUMPRODUCT(J$14:J$18,Proyeccion!$F$30:$F$34)</f>
        <v/>
      </c>
      <c r="K31" s="48">
        <f>SUMPRODUCT(K$14:K$18,Proyeccion!$F$30:$F$34)</f>
        <v/>
      </c>
      <c r="L31" s="48">
        <f>SUMPRODUCT(L$14:L$18,Proyeccion!$F$30:$F$34)</f>
        <v/>
      </c>
      <c r="M31" s="48">
        <f>SUMPRODUCT(M$14:M$18,Proyeccion!$F$30:$F$34)</f>
        <v/>
      </c>
      <c r="N31" s="55">
        <f>SUM(B31:M31)</f>
        <v/>
      </c>
    </row>
    <row r="32" ht="15" customHeight="1" s="39">
      <c r="A32" s="43" t="n"/>
      <c r="B32" s="48" t="n"/>
      <c r="C32" s="48" t="n"/>
      <c r="D32" s="48" t="n"/>
      <c r="E32" s="48" t="n"/>
      <c r="F32" s="48" t="n"/>
      <c r="G32" s="48" t="n"/>
      <c r="H32" s="48" t="n"/>
      <c r="I32" s="48" t="n"/>
      <c r="J32" s="48" t="n"/>
      <c r="K32" s="48" t="n"/>
      <c r="L32" s="48" t="n"/>
      <c r="M32" s="48" t="n"/>
      <c r="N32" s="55" t="n"/>
    </row>
    <row r="33" ht="15" customHeight="1" s="39">
      <c r="A33" s="43" t="inlineStr">
        <is>
          <t>Espacio para stands y carrito</t>
        </is>
      </c>
      <c r="B33" s="48">
        <f>B5*Supuestos!$B$57</f>
        <v/>
      </c>
      <c r="C33" s="48">
        <f>C5*Supuestos!$B$57</f>
        <v/>
      </c>
      <c r="D33" s="48">
        <f>D5*Supuestos!$B$57</f>
        <v/>
      </c>
      <c r="E33" s="48">
        <f>E5*Supuestos!$B$57</f>
        <v/>
      </c>
      <c r="F33" s="48">
        <f>F5*Supuestos!$B$57</f>
        <v/>
      </c>
      <c r="G33" s="48">
        <f>G5*Supuestos!$B$57</f>
        <v/>
      </c>
      <c r="H33" s="48">
        <f>H5*Supuestos!$B$57</f>
        <v/>
      </c>
      <c r="I33" s="48">
        <f>I5*Supuestos!$B$57</f>
        <v/>
      </c>
      <c r="J33" s="48">
        <f>J5*Supuestos!$B$57</f>
        <v/>
      </c>
      <c r="K33" s="48">
        <f>K5*Supuestos!$B$57</f>
        <v/>
      </c>
      <c r="L33" s="48">
        <f>L5*Supuestos!$B$57</f>
        <v/>
      </c>
      <c r="M33" s="48">
        <f>M5*Supuestos!$B$57</f>
        <v/>
      </c>
      <c r="N33" s="55">
        <f>SUM(B33:M33)</f>
        <v/>
      </c>
    </row>
    <row r="34" ht="15" customHeight="1" s="39">
      <c r="A34" s="43" t="inlineStr">
        <is>
          <t>Vendedores de stand (por día de atención)</t>
        </is>
      </c>
      <c r="B34" s="48">
        <f>MAX(0,B5-Supuestos!$B$59)*B6*Supuestos!$B$58</f>
        <v/>
      </c>
      <c r="C34" s="48">
        <f>MAX(0,C5-Supuestos!$B$59)*C6*Supuestos!$B$58</f>
        <v/>
      </c>
      <c r="D34" s="48">
        <f>MAX(0,D5-Supuestos!$B$59)*D6*Supuestos!$B$58</f>
        <v/>
      </c>
      <c r="E34" s="48">
        <f>MAX(0,E5-Supuestos!$B$59)*E6*Supuestos!$B$58</f>
        <v/>
      </c>
      <c r="F34" s="48">
        <f>MAX(0,F5-Supuestos!$B$59)*F6*Supuestos!$B$58</f>
        <v/>
      </c>
      <c r="G34" s="48">
        <f>MAX(0,G5-Supuestos!$B$59)*G6*Supuestos!$B$58</f>
        <v/>
      </c>
      <c r="H34" s="48">
        <f>MAX(0,H5-Supuestos!$B$59)*H6*Supuestos!$B$58</f>
        <v/>
      </c>
      <c r="I34" s="48">
        <f>MAX(0,I5-Supuestos!$B$59)*I6*Supuestos!$B$58</f>
        <v/>
      </c>
      <c r="J34" s="48">
        <f>MAX(0,J5-Supuestos!$B$59)*J6*Supuestos!$B$58</f>
        <v/>
      </c>
      <c r="K34" s="48">
        <f>MAX(0,K5-Supuestos!$B$59)*K6*Supuestos!$B$58</f>
        <v/>
      </c>
      <c r="L34" s="48">
        <f>MAX(0,L5-Supuestos!$B$59)*L6*Supuestos!$B$58</f>
        <v/>
      </c>
      <c r="M34" s="48">
        <f>MAX(0,M5-Supuestos!$B$59)*M6*Supuestos!$B$58</f>
        <v/>
      </c>
      <c r="N34" s="55">
        <f>SUM(B34:M34)</f>
        <v/>
      </c>
    </row>
    <row r="35" ht="15" customHeight="1" s="39">
      <c r="A35" s="43" t="inlineStr">
        <is>
          <t>Ferias pagadas (stand y vendedor(a) los días de la feria)</t>
        </is>
      </c>
      <c r="B35" s="48">
        <f>B8*(Supuestos!$B$60+Supuestos!$B$61*Supuestos!$B$58)</f>
        <v/>
      </c>
      <c r="C35" s="48">
        <f>C8*(Supuestos!$B$60+Supuestos!$B$61*Supuestos!$B$58)</f>
        <v/>
      </c>
      <c r="D35" s="48">
        <f>D8*(Supuestos!$B$60+Supuestos!$B$61*Supuestos!$B$58)</f>
        <v/>
      </c>
      <c r="E35" s="48">
        <f>E8*(Supuestos!$B$60+Supuestos!$B$61*Supuestos!$B$58)</f>
        <v/>
      </c>
      <c r="F35" s="48">
        <f>F8*(Supuestos!$B$60+Supuestos!$B$61*Supuestos!$B$58)</f>
        <v/>
      </c>
      <c r="G35" s="48">
        <f>G8*(Supuestos!$B$60+Supuestos!$B$61*Supuestos!$B$58)</f>
        <v/>
      </c>
      <c r="H35" s="48">
        <f>H8*(Supuestos!$B$60+Supuestos!$B$61*Supuestos!$B$58)</f>
        <v/>
      </c>
      <c r="I35" s="48">
        <f>I8*(Supuestos!$B$60+Supuestos!$B$61*Supuestos!$B$58)</f>
        <v/>
      </c>
      <c r="J35" s="48">
        <f>J8*(Supuestos!$B$60+Supuestos!$B$61*Supuestos!$B$58)</f>
        <v/>
      </c>
      <c r="K35" s="48">
        <f>K8*(Supuestos!$B$60+Supuestos!$B$61*Supuestos!$B$58)</f>
        <v/>
      </c>
      <c r="L35" s="48">
        <f>L8*(Supuestos!$B$60+Supuestos!$B$61*Supuestos!$B$58)</f>
        <v/>
      </c>
      <c r="M35" s="48">
        <f>M8*(Supuestos!$B$60+Supuestos!$B$61*Supuestos!$B$58)</f>
        <v/>
      </c>
      <c r="N35" s="55">
        <f>SUM(B35:M35)</f>
        <v/>
      </c>
    </row>
    <row r="36" ht="15" customHeight="1" s="39">
      <c r="A36" s="43" t="inlineStr">
        <is>
          <t>Eventos sin costo (vendedor(a) 1 día y aporte al organizador)</t>
        </is>
      </c>
      <c r="B36" s="48">
        <f>B9*(Supuestos!$B$58+Supuestos!$B$64)</f>
        <v/>
      </c>
      <c r="C36" s="48">
        <f>C9*(Supuestos!$B$58+Supuestos!$B$64)</f>
        <v/>
      </c>
      <c r="D36" s="48">
        <f>D9*(Supuestos!$B$58+Supuestos!$B$64)</f>
        <v/>
      </c>
      <c r="E36" s="48">
        <f>E9*(Supuestos!$B$58+Supuestos!$B$64)</f>
        <v/>
      </c>
      <c r="F36" s="48">
        <f>F9*(Supuestos!$B$58+Supuestos!$B$64)</f>
        <v/>
      </c>
      <c r="G36" s="48">
        <f>G9*(Supuestos!$B$58+Supuestos!$B$64)</f>
        <v/>
      </c>
      <c r="H36" s="48">
        <f>H9*(Supuestos!$B$58+Supuestos!$B$64)</f>
        <v/>
      </c>
      <c r="I36" s="48">
        <f>I9*(Supuestos!$B$58+Supuestos!$B$64)</f>
        <v/>
      </c>
      <c r="J36" s="48">
        <f>J9*(Supuestos!$B$58+Supuestos!$B$64)</f>
        <v/>
      </c>
      <c r="K36" s="48">
        <f>K9*(Supuestos!$B$58+Supuestos!$B$64)</f>
        <v/>
      </c>
      <c r="L36" s="48">
        <f>L9*(Supuestos!$B$58+Supuestos!$B$64)</f>
        <v/>
      </c>
      <c r="M36" s="48">
        <f>M9*(Supuestos!$B$58+Supuestos!$B$64)</f>
        <v/>
      </c>
      <c r="N36" s="55">
        <f>SUM(B36:M36)</f>
        <v/>
      </c>
    </row>
    <row r="37" ht="15" customHeight="1" s="39">
      <c r="A37" s="43" t="inlineStr">
        <is>
          <t>Costos fijos del mes</t>
        </is>
      </c>
      <c r="B37" s="48">
        <f>Supuestos!$B$75</f>
        <v/>
      </c>
      <c r="C37" s="48">
        <f>Supuestos!$B$75</f>
        <v/>
      </c>
      <c r="D37" s="48">
        <f>Supuestos!$B$75</f>
        <v/>
      </c>
      <c r="E37" s="48">
        <f>Supuestos!$B$75</f>
        <v/>
      </c>
      <c r="F37" s="48">
        <f>Supuestos!$B$75</f>
        <v/>
      </c>
      <c r="G37" s="48">
        <f>Supuestos!$B$75</f>
        <v/>
      </c>
      <c r="H37" s="48">
        <f>Supuestos!$B$75</f>
        <v/>
      </c>
      <c r="I37" s="48">
        <f>Supuestos!$B$75</f>
        <v/>
      </c>
      <c r="J37" s="48">
        <f>Supuestos!$B$75</f>
        <v/>
      </c>
      <c r="K37" s="48">
        <f>Supuestos!$B$75</f>
        <v/>
      </c>
      <c r="L37" s="48">
        <f>Supuestos!$B$75</f>
        <v/>
      </c>
      <c r="M37" s="48">
        <f>Supuestos!$B$75</f>
        <v/>
      </c>
      <c r="N37" s="55">
        <f>SUM(B37:M37)</f>
        <v/>
      </c>
    </row>
    <row r="38" ht="15" customHeight="1" s="39">
      <c r="A38" s="49" t="inlineStr">
        <is>
          <t>Resultado operativo</t>
        </is>
      </c>
      <c r="B38" s="50">
        <f>B31-SUM(B33:B37)</f>
        <v/>
      </c>
      <c r="C38" s="50">
        <f>C31-SUM(C33:C37)</f>
        <v/>
      </c>
      <c r="D38" s="50">
        <f>D31-SUM(D33:D37)</f>
        <v/>
      </c>
      <c r="E38" s="50">
        <f>E31-SUM(E33:E37)</f>
        <v/>
      </c>
      <c r="F38" s="50">
        <f>F31-SUM(F33:F37)</f>
        <v/>
      </c>
      <c r="G38" s="50">
        <f>G31-SUM(G33:G37)</f>
        <v/>
      </c>
      <c r="H38" s="50">
        <f>H31-SUM(H33:H37)</f>
        <v/>
      </c>
      <c r="I38" s="50">
        <f>I31-SUM(I33:I37)</f>
        <v/>
      </c>
      <c r="J38" s="50">
        <f>J31-SUM(J33:J37)</f>
        <v/>
      </c>
      <c r="K38" s="50">
        <f>K31-SUM(K33:K37)</f>
        <v/>
      </c>
      <c r="L38" s="50">
        <f>L31-SUM(L33:L37)</f>
        <v/>
      </c>
      <c r="M38" s="50">
        <f>M31-SUM(M33:M37)</f>
        <v/>
      </c>
      <c r="N38" s="50">
        <f>SUM(B38:M38)</f>
        <v/>
      </c>
    </row>
    <row r="39" ht="15" customHeight="1" s="39">
      <c r="A39" s="49" t="n"/>
      <c r="B39" s="50" t="n"/>
      <c r="C39" s="50" t="n"/>
      <c r="D39" s="50" t="n"/>
      <c r="E39" s="50" t="n"/>
      <c r="F39" s="50" t="n"/>
      <c r="G39" s="50" t="n"/>
      <c r="H39" s="50" t="n"/>
      <c r="I39" s="50" t="n"/>
      <c r="J39" s="50" t="n"/>
      <c r="K39" s="50" t="n"/>
      <c r="L39" s="50" t="n"/>
      <c r="M39" s="50" t="n"/>
      <c r="N39" s="50" t="n"/>
    </row>
    <row r="40" ht="15" customHeight="1" s="39">
      <c r="A40" s="43" t="inlineStr">
        <is>
          <t>Resultado acumulado</t>
        </is>
      </c>
      <c r="B40" s="55">
        <f>B38</f>
        <v/>
      </c>
      <c r="C40" s="55">
        <f>B40+C38</f>
        <v/>
      </c>
      <c r="D40" s="55">
        <f>C40+D38</f>
        <v/>
      </c>
      <c r="E40" s="55">
        <f>D40+E38</f>
        <v/>
      </c>
      <c r="F40" s="55">
        <f>E40+F38</f>
        <v/>
      </c>
      <c r="G40" s="55">
        <f>F40+G38</f>
        <v/>
      </c>
      <c r="H40" s="55">
        <f>G40+H38</f>
        <v/>
      </c>
      <c r="I40" s="55">
        <f>H40+I38</f>
        <v/>
      </c>
      <c r="J40" s="55">
        <f>I40+J38</f>
        <v/>
      </c>
      <c r="K40" s="55">
        <f>J40+K38</f>
        <v/>
      </c>
      <c r="L40" s="55">
        <f>K40+L38</f>
        <v/>
      </c>
      <c r="M40" s="55">
        <f>L40+M38</f>
        <v/>
      </c>
    </row>
    <row r="41" ht="15" customHeight="1" s="39">
      <c r="A41" s="43" t="n"/>
      <c r="B41" s="55" t="n"/>
      <c r="C41" s="55" t="n"/>
      <c r="D41" s="55" t="n"/>
      <c r="E41" s="55" t="n"/>
      <c r="F41" s="55" t="n"/>
      <c r="G41" s="55" t="n"/>
      <c r="H41" s="55" t="n"/>
      <c r="I41" s="55" t="n"/>
      <c r="J41" s="55" t="n"/>
      <c r="K41" s="55" t="n"/>
      <c r="L41" s="55" t="n"/>
      <c r="M41" s="55" t="n"/>
    </row>
    <row r="42" ht="15" customHeight="1" s="39">
      <c r="A42" s="43" t="inlineStr">
        <is>
          <t>Cuota del préstamo</t>
        </is>
      </c>
      <c r="B42" s="48">
        <f>IF(1&lt;=Inversion!$B$49,Inversion!$B$50,0)</f>
        <v/>
      </c>
      <c r="C42" s="48">
        <f>IF(2&lt;=Inversion!$B$49,Inversion!$B$50,0)</f>
        <v/>
      </c>
      <c r="D42" s="48">
        <f>IF(3&lt;=Inversion!$B$49,Inversion!$B$50,0)</f>
        <v/>
      </c>
      <c r="E42" s="48">
        <f>IF(4&lt;=Inversion!$B$49,Inversion!$B$50,0)</f>
        <v/>
      </c>
      <c r="F42" s="48">
        <f>IF(5&lt;=Inversion!$B$49,Inversion!$B$50,0)</f>
        <v/>
      </c>
      <c r="G42" s="48">
        <f>IF(6&lt;=Inversion!$B$49,Inversion!$B$50,0)</f>
        <v/>
      </c>
      <c r="H42" s="48">
        <f>IF(7&lt;=Inversion!$B$49,Inversion!$B$50,0)</f>
        <v/>
      </c>
      <c r="I42" s="48">
        <f>IF(8&lt;=Inversion!$B$49,Inversion!$B$50,0)</f>
        <v/>
      </c>
      <c r="J42" s="48">
        <f>IF(9&lt;=Inversion!$B$49,Inversion!$B$50,0)</f>
        <v/>
      </c>
      <c r="K42" s="48">
        <f>IF(10&lt;=Inversion!$B$49,Inversion!$B$50,0)</f>
        <v/>
      </c>
      <c r="L42" s="48">
        <f>IF(11&lt;=Inversion!$B$49,Inversion!$B$50,0)</f>
        <v/>
      </c>
      <c r="M42" s="48">
        <f>IF(12&lt;=Inversion!$B$49,Inversion!$B$50,0)</f>
        <v/>
      </c>
      <c r="N42" s="55">
        <f>SUM(B42:M42)</f>
        <v/>
      </c>
    </row>
    <row r="43" ht="15" customHeight="1" s="39">
      <c r="A43" s="43" t="inlineStr">
        <is>
          <t>Depreciación (no sale de caja)</t>
        </is>
      </c>
      <c r="B43" s="48">
        <f>Supuestos!$B$74</f>
        <v/>
      </c>
      <c r="C43" s="48">
        <f>Supuestos!$B$74</f>
        <v/>
      </c>
      <c r="D43" s="48">
        <f>Supuestos!$B$74</f>
        <v/>
      </c>
      <c r="E43" s="48">
        <f>Supuestos!$B$74</f>
        <v/>
      </c>
      <c r="F43" s="48">
        <f>Supuestos!$B$74</f>
        <v/>
      </c>
      <c r="G43" s="48">
        <f>Supuestos!$B$74</f>
        <v/>
      </c>
      <c r="H43" s="48">
        <f>Supuestos!$B$74</f>
        <v/>
      </c>
      <c r="I43" s="48">
        <f>Supuestos!$B$74</f>
        <v/>
      </c>
      <c r="J43" s="48">
        <f>Supuestos!$B$74</f>
        <v/>
      </c>
      <c r="K43" s="48">
        <f>Supuestos!$B$74</f>
        <v/>
      </c>
      <c r="L43" s="48">
        <f>Supuestos!$B$74</f>
        <v/>
      </c>
      <c r="M43" s="48">
        <f>Supuestos!$B$74</f>
        <v/>
      </c>
      <c r="N43" s="55">
        <f>SUM(B43:M43)</f>
        <v/>
      </c>
    </row>
    <row r="44" ht="15" customHeight="1" s="39">
      <c r="A44" s="49" t="inlineStr">
        <is>
          <t>Caja al cierre del mes (capital de trabajo y lo que sobra de la inversión, más el resultado, más la depreciación, menos la cuota)</t>
        </is>
      </c>
      <c r="B44" s="50">
        <f>Inversion!$B$34+Inversion!$B$52+B38+B43-B42</f>
        <v/>
      </c>
      <c r="C44" s="50">
        <f>B44+C38+C43-C42</f>
        <v/>
      </c>
      <c r="D44" s="50">
        <f>C44+D38+D43-D42</f>
        <v/>
      </c>
      <c r="E44" s="50">
        <f>D44+E38+E43-E42</f>
        <v/>
      </c>
      <c r="F44" s="50">
        <f>E44+F38+F43-F42</f>
        <v/>
      </c>
      <c r="G44" s="50">
        <f>F44+G38+G43-G42</f>
        <v/>
      </c>
      <c r="H44" s="50">
        <f>G44+H38+H43-H42</f>
        <v/>
      </c>
      <c r="I44" s="50">
        <f>H44+I38+I43-I42</f>
        <v/>
      </c>
      <c r="J44" s="50">
        <f>I44+J38+J43-J42</f>
        <v/>
      </c>
      <c r="K44" s="50">
        <f>J44+K38+K43-K42</f>
        <v/>
      </c>
      <c r="L44" s="50">
        <f>K44+L38+L43-L42</f>
        <v/>
      </c>
      <c r="M44" s="50">
        <f>L44+M38+M43-M42</f>
        <v/>
      </c>
    </row>
    <row r="46" ht="15" customHeight="1" s="39">
      <c r="A46" s="43" t="inlineStr">
        <is>
          <t>La contribución multiplica las unidades de cada canal por la contribución por unidad de ese canal (hoja Proyeccion, tabla 2). Después se restan el espacio de los stands, los vendedores, las ferias pagadas, los eventos sin costo y los costos fijos. No incluye intereses del préstamo ni el impuesto a la renta anual.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N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del año 2 (enero a diciembre de 2028): los 3 puntos de venta todo el año</t>
        </is>
      </c>
    </row>
    <row r="2" ht="15" customHeight="1" s="39">
      <c r="A2" s="43" t="inlineStr">
        <is>
          <t>Mismos precios, costos y mezcla que el año 1 (contribución por unidad de la hoja Proyeccion). No cuenta las mejoras que se activan solo si se cumplen sus reglas (4.º punto, maquila más barata, contrato anual del polvo): es un escenario prudente.</t>
        </is>
      </c>
    </row>
    <row r="4" ht="30" customHeight="1" s="39">
      <c r="A4" s="44" t="inlineStr">
        <is>
          <t>Actividad comercial del mes (datos)</t>
        </is>
      </c>
      <c r="B4" s="44" t="inlineStr">
        <is>
          <t>M13 Ene-28</t>
        </is>
      </c>
      <c r="C4" s="44" t="inlineStr">
        <is>
          <t>M14 Feb-28</t>
        </is>
      </c>
      <c r="D4" s="44" t="inlineStr">
        <is>
          <t>M15 Mar-28</t>
        </is>
      </c>
      <c r="E4" s="44" t="inlineStr">
        <is>
          <t>M16 Abr-28</t>
        </is>
      </c>
      <c r="F4" s="44" t="inlineStr">
        <is>
          <t>M17 May-28</t>
        </is>
      </c>
      <c r="G4" s="44" t="inlineStr">
        <is>
          <t>M18 Jun-28</t>
        </is>
      </c>
      <c r="H4" s="44" t="inlineStr">
        <is>
          <t>M19 Jul-28</t>
        </is>
      </c>
      <c r="I4" s="44" t="inlineStr">
        <is>
          <t>M20 Ago-28</t>
        </is>
      </c>
      <c r="J4" s="44" t="inlineStr">
        <is>
          <t>M21 Set-28</t>
        </is>
      </c>
      <c r="K4" s="44" t="inlineStr">
        <is>
          <t>M22 Oct-28</t>
        </is>
      </c>
      <c r="L4" s="44" t="inlineStr">
        <is>
          <t>M23 Nov-28</t>
        </is>
      </c>
      <c r="M4" s="44" t="inlineStr">
        <is>
          <t>M24 Dic-28</t>
        </is>
      </c>
      <c r="N4" s="44" t="inlineStr">
        <is>
          <t>Total año 2</t>
        </is>
      </c>
    </row>
    <row r="5" ht="15" customHeight="1" s="39">
      <c r="A5" s="43" t="inlineStr">
        <is>
          <t>Puntos de venta con stand o carrito (fines de semana)</t>
        </is>
      </c>
      <c r="B5" s="67" t="n">
        <v>3</v>
      </c>
      <c r="C5" s="67" t="n">
        <v>3</v>
      </c>
      <c r="D5" s="67" t="n">
        <v>3</v>
      </c>
      <c r="E5" s="67" t="n">
        <v>3</v>
      </c>
      <c r="F5" s="67" t="n">
        <v>3</v>
      </c>
      <c r="G5" s="67" t="n">
        <v>3</v>
      </c>
      <c r="H5" s="67" t="n">
        <v>3</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(ritmo de fin del año 1)</t>
        </is>
      </c>
      <c r="B7" s="67" t="n">
        <v>80</v>
      </c>
      <c r="C7" s="67" t="n">
        <v>80</v>
      </c>
      <c r="D7" s="67" t="n">
        <v>90</v>
      </c>
      <c r="E7" s="67" t="n">
        <v>90</v>
      </c>
      <c r="F7" s="67" t="n">
        <v>90</v>
      </c>
      <c r="G7" s="67" t="n">
        <v>90</v>
      </c>
      <c r="H7" s="67" t="n">
        <v>90</v>
      </c>
      <c r="I7" s="67" t="n">
        <v>90</v>
      </c>
      <c r="J7" s="67" t="n">
        <v>90</v>
      </c>
      <c r="K7" s="67" t="n">
        <v>90</v>
      </c>
      <c r="L7" s="67" t="n">
        <v>90</v>
      </c>
      <c r="M7" s="67" t="n">
        <v>90</v>
      </c>
      <c r="N7" s="54">
        <f>SUM(B7:M7)</f>
        <v/>
      </c>
    </row>
    <row r="8" ht="15" customHeight="1" s="39">
      <c r="A8" s="43" t="inlineStr">
        <is>
          <t>Ferias pagadas en el mes (campaña escolar y Día del Niño)</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2</v>
      </c>
      <c r="C9" s="67" t="n">
        <v>2</v>
      </c>
      <c r="D9" s="67" t="n">
        <v>4</v>
      </c>
      <c r="E9" s="67" t="n">
        <v>4</v>
      </c>
      <c r="F9" s="67" t="n">
        <v>4</v>
      </c>
      <c r="G9" s="67" t="n">
        <v>4</v>
      </c>
      <c r="H9" s="67" t="n">
        <v>3</v>
      </c>
      <c r="I9" s="67" t="n">
        <v>4</v>
      </c>
      <c r="J9" s="67" t="n">
        <v>4</v>
      </c>
      <c r="K9" s="67" t="n">
        <v>4</v>
      </c>
      <c r="L9" s="67" t="n">
        <v>4</v>
      </c>
      <c r="M9" s="67" t="n">
        <v>2</v>
      </c>
      <c r="N9" s="54">
        <f>SUM(B9:M9)</f>
        <v/>
      </c>
    </row>
    <row r="10" ht="15" customHeight="1" s="39">
      <c r="A10" s="43" t="inlineStr">
        <is>
          <t>Unidades a colegios (quiosco; año escolar completo)</t>
        </is>
      </c>
      <c r="B10" s="71" t="n">
        <v>0</v>
      </c>
      <c r="C10" s="71" t="n">
        <v>0</v>
      </c>
      <c r="D10" s="71" t="n">
        <v>1200</v>
      </c>
      <c r="E10" s="71" t="n">
        <v>1500</v>
      </c>
      <c r="F10" s="71" t="n">
        <v>1500</v>
      </c>
      <c r="G10" s="71" t="n">
        <v>1500</v>
      </c>
      <c r="H10" s="71" t="n">
        <v>900</v>
      </c>
      <c r="I10" s="71" t="n">
        <v>1500</v>
      </c>
      <c r="J10" s="71" t="n">
        <v>1500</v>
      </c>
      <c r="K10" s="71" t="n">
        <v>1500</v>
      </c>
      <c r="L10" s="71" t="n">
        <v>1500</v>
      </c>
      <c r="M10" s="71" t="n">
        <v>600</v>
      </c>
      <c r="N10" s="54">
        <f>SUM(B10:M10)</f>
        <v/>
      </c>
    </row>
    <row r="11" ht="15" customHeight="1" s="39">
      <c r="A11" s="43" t="inlineStr">
        <is>
          <t>Unidades a tiendas naturistas</t>
        </is>
      </c>
      <c r="B11" s="71" t="n">
        <v>480</v>
      </c>
      <c r="C11" s="71" t="n">
        <v>480</v>
      </c>
      <c r="D11" s="71" t="n">
        <v>540</v>
      </c>
      <c r="E11" s="71" t="n">
        <v>540</v>
      </c>
      <c r="F11" s="71" t="n">
        <v>540</v>
      </c>
      <c r="G11" s="71" t="n">
        <v>600</v>
      </c>
      <c r="H11" s="71" t="n">
        <v>600</v>
      </c>
      <c r="I11" s="71" t="n">
        <v>600</v>
      </c>
      <c r="J11" s="71" t="n">
        <v>600</v>
      </c>
      <c r="K11" s="71" t="n">
        <v>660</v>
      </c>
      <c r="L11" s="71" t="n">
        <v>660</v>
      </c>
      <c r="M11" s="71" t="n">
        <v>660</v>
      </c>
      <c r="N11" s="54">
        <f>SUM(B11:M11)</f>
        <v/>
      </c>
    </row>
    <row r="13" ht="30" customHeight="1" s="39">
      <c r="A13" s="44" t="inlineStr">
        <is>
          <t>Unidades vendidas por canal</t>
        </is>
      </c>
      <c r="B13" s="44" t="inlineStr">
        <is>
          <t>M13 Ene-28</t>
        </is>
      </c>
      <c r="C13" s="44" t="inlineStr">
        <is>
          <t>M14 Feb-28</t>
        </is>
      </c>
      <c r="D13" s="44" t="inlineStr">
        <is>
          <t>M15 Mar-28</t>
        </is>
      </c>
      <c r="E13" s="44" t="inlineStr">
        <is>
          <t>M16 Abr-28</t>
        </is>
      </c>
      <c r="F13" s="44" t="inlineStr">
        <is>
          <t>M17 May-28</t>
        </is>
      </c>
      <c r="G13" s="44" t="inlineStr">
        <is>
          <t>M18 Jun-28</t>
        </is>
      </c>
      <c r="H13" s="44" t="inlineStr">
        <is>
          <t>M19 Jul-28</t>
        </is>
      </c>
      <c r="I13" s="44" t="inlineStr">
        <is>
          <t>M20 Ago-28</t>
        </is>
      </c>
      <c r="J13" s="44" t="inlineStr">
        <is>
          <t>M21 Set-28</t>
        </is>
      </c>
      <c r="K13" s="44" t="inlineStr">
        <is>
          <t>M22 Oct-28</t>
        </is>
      </c>
      <c r="L13" s="44" t="inlineStr">
        <is>
          <t>M23 Nov-28</t>
        </is>
      </c>
      <c r="M13" s="44" t="inlineStr">
        <is>
          <t>M24 Dic-28</t>
        </is>
      </c>
      <c r="N13" s="44" t="inlineStr">
        <is>
          <t>Total año 2</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ROUND(Supuestos!$B$65*(Mensual!M14+Mensual!M15),0)</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Resultado mensual del año 2 (S/ sin IGV, salvo la primera fila)</t>
        </is>
      </c>
      <c r="B21" s="60" t="n"/>
      <c r="C21" s="60" t="n"/>
      <c r="D21" s="60" t="n"/>
      <c r="E21" s="60" t="n"/>
      <c r="F21" s="60" t="n"/>
      <c r="G21" s="60" t="n"/>
      <c r="H21" s="60" t="n"/>
      <c r="I21" s="60" t="n"/>
      <c r="J21" s="60" t="n"/>
      <c r="K21" s="60" t="n"/>
      <c r="L21" s="60" t="n"/>
      <c r="M21" s="60" t="n"/>
      <c r="N21" s="60" t="n"/>
    </row>
    <row r="22" ht="15" customHeight="1" s="39">
      <c r="A22" s="43" t="inlineStr">
        <is>
          <t>Ventas con IGV</t>
        </is>
      </c>
      <c r="B22" s="48">
        <f>SUMPRODUCT(B$14:B$18,Proyeccion!$H$30:$H$34)</f>
        <v/>
      </c>
      <c r="C22" s="48">
        <f>SUMPRODUCT(C$14:C$18,Proyeccion!$H$30:$H$34)</f>
        <v/>
      </c>
      <c r="D22" s="48">
        <f>SUMPRODUCT(D$14:D$18,Proyeccion!$H$30:$H$34)</f>
        <v/>
      </c>
      <c r="E22" s="48">
        <f>SUMPRODUCT(E$14:E$18,Proyeccion!$H$30:$H$34)</f>
        <v/>
      </c>
      <c r="F22" s="48">
        <f>SUMPRODUCT(F$14:F$18,Proyeccion!$H$30:$H$34)</f>
        <v/>
      </c>
      <c r="G22" s="48">
        <f>SUMPRODUCT(G$14:G$18,Proyeccion!$H$30:$H$34)</f>
        <v/>
      </c>
      <c r="H22" s="48">
        <f>SUMPRODUCT(H$14:H$18,Proyeccion!$H$30:$H$34)</f>
        <v/>
      </c>
      <c r="I22" s="48">
        <f>SUMPRODUCT(I$14:I$18,Proyeccion!$H$30:$H$34)</f>
        <v/>
      </c>
      <c r="J22" s="48">
        <f>SUMPRODUCT(J$14:J$18,Proyeccion!$H$30:$H$34)</f>
        <v/>
      </c>
      <c r="K22" s="48">
        <f>SUMPRODUCT(K$14:K$18,Proyeccion!$H$30:$H$34)</f>
        <v/>
      </c>
      <c r="L22" s="48">
        <f>SUMPRODUCT(L$14:L$18,Proyeccion!$H$30:$H$34)</f>
        <v/>
      </c>
      <c r="M22" s="48">
        <f>SUMPRODUCT(M$14:M$18,Proyeccion!$H$30:$H$34)</f>
        <v/>
      </c>
      <c r="N22" s="55">
        <f>SUM(B22:M22)</f>
        <v/>
      </c>
    </row>
    <row r="23" ht="15" customHeight="1" s="39">
      <c r="A23" s="43" t="inlineStr">
        <is>
          <t>Ventas sin IGV</t>
        </is>
      </c>
      <c r="B23" s="55">
        <f>B22/(1+Supuestos!$B$26)</f>
        <v/>
      </c>
      <c r="C23" s="55">
        <f>C22/(1+Supuestos!$B$26)</f>
        <v/>
      </c>
      <c r="D23" s="55">
        <f>D22/(1+Supuestos!$B$26)</f>
        <v/>
      </c>
      <c r="E23" s="55">
        <f>E22/(1+Supuestos!$B$26)</f>
        <v/>
      </c>
      <c r="F23" s="55">
        <f>F22/(1+Supuestos!$B$26)</f>
        <v/>
      </c>
      <c r="G23" s="55">
        <f>G22/(1+Supuestos!$B$26)</f>
        <v/>
      </c>
      <c r="H23" s="55">
        <f>H22/(1+Supuestos!$B$26)</f>
        <v/>
      </c>
      <c r="I23" s="55">
        <f>I22/(1+Supuestos!$B$26)</f>
        <v/>
      </c>
      <c r="J23" s="55">
        <f>J22/(1+Supuestos!$B$26)</f>
        <v/>
      </c>
      <c r="K23" s="55">
        <f>K22/(1+Supuestos!$B$26)</f>
        <v/>
      </c>
      <c r="L23" s="55">
        <f>L22/(1+Supuestos!$B$26)</f>
        <v/>
      </c>
      <c r="M23" s="55">
        <f>M22/(1+Supuestos!$B$26)</f>
        <v/>
      </c>
      <c r="N23" s="55">
        <f>SUM(B23:M23)</f>
        <v/>
      </c>
    </row>
    <row r="24" ht="15" customHeight="1" s="39">
      <c r="A24" s="43" t="inlineStr">
        <is>
          <t>Contribución</t>
        </is>
      </c>
      <c r="B24" s="48">
        <f>SUMPRODUCT(B$14:B$18,Proyeccion!$F$30:$F$34)</f>
        <v/>
      </c>
      <c r="C24" s="48">
        <f>SUMPRODUCT(C$14:C$18,Proyeccion!$F$30:$F$34)</f>
        <v/>
      </c>
      <c r="D24" s="48">
        <f>SUMPRODUCT(D$14:D$18,Proyeccion!$F$30:$F$34)</f>
        <v/>
      </c>
      <c r="E24" s="48">
        <f>SUMPRODUCT(E$14:E$18,Proyeccion!$F$30:$F$34)</f>
        <v/>
      </c>
      <c r="F24" s="48">
        <f>SUMPRODUCT(F$14:F$18,Proyeccion!$F$30:$F$34)</f>
        <v/>
      </c>
      <c r="G24" s="48">
        <f>SUMPRODUCT(G$14:G$18,Proyeccion!$F$30:$F$34)</f>
        <v/>
      </c>
      <c r="H24" s="48">
        <f>SUMPRODUCT(H$14:H$18,Proyeccion!$F$30:$F$34)</f>
        <v/>
      </c>
      <c r="I24" s="48">
        <f>SUMPRODUCT(I$14:I$18,Proyeccion!$F$30:$F$34)</f>
        <v/>
      </c>
      <c r="J24" s="48">
        <f>SUMPRODUCT(J$14:J$18,Proyeccion!$F$30:$F$34)</f>
        <v/>
      </c>
      <c r="K24" s="48">
        <f>SUMPRODUCT(K$14:K$18,Proyeccion!$F$30:$F$34)</f>
        <v/>
      </c>
      <c r="L24" s="48">
        <f>SUMPRODUCT(L$14:L$18,Proyeccion!$F$30:$F$34)</f>
        <v/>
      </c>
      <c r="M24" s="48">
        <f>SUMPRODUCT(M$14:M$18,Proyeccion!$F$30:$F$34)</f>
        <v/>
      </c>
      <c r="N24" s="55">
        <f>SUM(B24:M24)</f>
        <v/>
      </c>
    </row>
    <row r="25" ht="15" customHeight="1" s="39">
      <c r="A25" s="43" t="inlineStr">
        <is>
          <t>Espacio para stands y carrito</t>
        </is>
      </c>
      <c r="B25" s="48">
        <f>B5*Supuestos!$B$57</f>
        <v/>
      </c>
      <c r="C25" s="48">
        <f>C5*Supuestos!$B$57</f>
        <v/>
      </c>
      <c r="D25" s="48">
        <f>D5*Supuestos!$B$57</f>
        <v/>
      </c>
      <c r="E25" s="48">
        <f>E5*Supuestos!$B$57</f>
        <v/>
      </c>
      <c r="F25" s="48">
        <f>F5*Supuestos!$B$57</f>
        <v/>
      </c>
      <c r="G25" s="48">
        <f>G5*Supuestos!$B$57</f>
        <v/>
      </c>
      <c r="H25" s="48">
        <f>H5*Supuestos!$B$57</f>
        <v/>
      </c>
      <c r="I25" s="48">
        <f>I5*Supuestos!$B$57</f>
        <v/>
      </c>
      <c r="J25" s="48">
        <f>J5*Supuestos!$B$57</f>
        <v/>
      </c>
      <c r="K25" s="48">
        <f>K5*Supuestos!$B$57</f>
        <v/>
      </c>
      <c r="L25" s="48">
        <f>L5*Supuestos!$B$57</f>
        <v/>
      </c>
      <c r="M25" s="48">
        <f>M5*Supuestos!$B$57</f>
        <v/>
      </c>
      <c r="N25" s="55">
        <f>SUM(B25:M25)</f>
        <v/>
      </c>
    </row>
    <row r="26" ht="15" customHeight="1" s="39">
      <c r="A26" s="43" t="inlineStr">
        <is>
          <t>Vendedores de stand</t>
        </is>
      </c>
      <c r="B26" s="48">
        <f>MAX(0,B5-Supuestos!$B$59)*B6*Supuestos!$B$58</f>
        <v/>
      </c>
      <c r="C26" s="48">
        <f>MAX(0,C5-Supuestos!$B$59)*C6*Supuestos!$B$58</f>
        <v/>
      </c>
      <c r="D26" s="48">
        <f>MAX(0,D5-Supuestos!$B$59)*D6*Supuestos!$B$58</f>
        <v/>
      </c>
      <c r="E26" s="48">
        <f>MAX(0,E5-Supuestos!$B$59)*E6*Supuestos!$B$58</f>
        <v/>
      </c>
      <c r="F26" s="48">
        <f>MAX(0,F5-Supuestos!$B$59)*F6*Supuestos!$B$58</f>
        <v/>
      </c>
      <c r="G26" s="48">
        <f>MAX(0,G5-Supuestos!$B$59)*G6*Supuestos!$B$58</f>
        <v/>
      </c>
      <c r="H26" s="48">
        <f>MAX(0,H5-Supuestos!$B$59)*H6*Supuestos!$B$58</f>
        <v/>
      </c>
      <c r="I26" s="48">
        <f>MAX(0,I5-Supuestos!$B$59)*I6*Supuestos!$B$58</f>
        <v/>
      </c>
      <c r="J26" s="48">
        <f>MAX(0,J5-Supuestos!$B$59)*J6*Supuestos!$B$58</f>
        <v/>
      </c>
      <c r="K26" s="48">
        <f>MAX(0,K5-Supuestos!$B$59)*K6*Supuestos!$B$58</f>
        <v/>
      </c>
      <c r="L26" s="48">
        <f>MAX(0,L5-Supuestos!$B$59)*L6*Supuestos!$B$58</f>
        <v/>
      </c>
      <c r="M26" s="48">
        <f>MAX(0,M5-Supuestos!$B$59)*M6*Supuestos!$B$58</f>
        <v/>
      </c>
      <c r="N26" s="55">
        <f>SUM(B26:M26)</f>
        <v/>
      </c>
    </row>
    <row r="27" ht="15" customHeight="1" s="39">
      <c r="A27" s="43" t="inlineStr">
        <is>
          <t>Ferias pagadas</t>
        </is>
      </c>
      <c r="B27" s="48">
        <f>B8*(Supuestos!$B$60+Supuestos!$B$61*Supuestos!$B$58)</f>
        <v/>
      </c>
      <c r="C27" s="48">
        <f>C8*(Supuestos!$B$60+Supuestos!$B$61*Supuestos!$B$58)</f>
        <v/>
      </c>
      <c r="D27" s="48">
        <f>D8*(Supuestos!$B$60+Supuestos!$B$61*Supuestos!$B$58)</f>
        <v/>
      </c>
      <c r="E27" s="48">
        <f>E8*(Supuestos!$B$60+Supuestos!$B$61*Supuestos!$B$58)</f>
        <v/>
      </c>
      <c r="F27" s="48">
        <f>F8*(Supuestos!$B$60+Supuestos!$B$61*Supuestos!$B$58)</f>
        <v/>
      </c>
      <c r="G27" s="48">
        <f>G8*(Supuestos!$B$60+Supuestos!$B$61*Supuestos!$B$58)</f>
        <v/>
      </c>
      <c r="H27" s="48">
        <f>H8*(Supuestos!$B$60+Supuestos!$B$61*Supuestos!$B$58)</f>
        <v/>
      </c>
      <c r="I27" s="48">
        <f>I8*(Supuestos!$B$60+Supuestos!$B$61*Supuestos!$B$58)</f>
        <v/>
      </c>
      <c r="J27" s="48">
        <f>J8*(Supuestos!$B$60+Supuestos!$B$61*Supuestos!$B$58)</f>
        <v/>
      </c>
      <c r="K27" s="48">
        <f>K8*(Supuestos!$B$60+Supuestos!$B$61*Supuestos!$B$58)</f>
        <v/>
      </c>
      <c r="L27" s="48">
        <f>L8*(Supuestos!$B$60+Supuestos!$B$61*Supuestos!$B$58)</f>
        <v/>
      </c>
      <c r="M27" s="48">
        <f>M8*(Supuestos!$B$60+Supuestos!$B$61*Supuestos!$B$58)</f>
        <v/>
      </c>
      <c r="N27" s="55">
        <f>SUM(B27:M27)</f>
        <v/>
      </c>
    </row>
    <row r="28" ht="15" customHeight="1" s="39">
      <c r="A28" s="43" t="inlineStr">
        <is>
          <t>Eventos sin costo</t>
        </is>
      </c>
      <c r="B28" s="48">
        <f>B9*(Supuestos!$B$58+Supuestos!$B$64)</f>
        <v/>
      </c>
      <c r="C28" s="48">
        <f>C9*(Supuestos!$B$58+Supuestos!$B$64)</f>
        <v/>
      </c>
      <c r="D28" s="48">
        <f>D9*(Supuestos!$B$58+Supuestos!$B$64)</f>
        <v/>
      </c>
      <c r="E28" s="48">
        <f>E9*(Supuestos!$B$58+Supuestos!$B$64)</f>
        <v/>
      </c>
      <c r="F28" s="48">
        <f>F9*(Supuestos!$B$58+Supuestos!$B$64)</f>
        <v/>
      </c>
      <c r="G28" s="48">
        <f>G9*(Supuestos!$B$58+Supuestos!$B$64)</f>
        <v/>
      </c>
      <c r="H28" s="48">
        <f>H9*(Supuestos!$B$58+Supuestos!$B$64)</f>
        <v/>
      </c>
      <c r="I28" s="48">
        <f>I9*(Supuestos!$B$58+Supuestos!$B$64)</f>
        <v/>
      </c>
      <c r="J28" s="48">
        <f>J9*(Supuestos!$B$58+Supuestos!$B$64)</f>
        <v/>
      </c>
      <c r="K28" s="48">
        <f>K9*(Supuestos!$B$58+Supuestos!$B$64)</f>
        <v/>
      </c>
      <c r="L28" s="48">
        <f>L9*(Supuestos!$B$58+Supuestos!$B$64)</f>
        <v/>
      </c>
      <c r="M28" s="48">
        <f>M9*(Supuestos!$B$58+Supuestos!$B$64)</f>
        <v/>
      </c>
      <c r="N28" s="55">
        <f>SUM(B28:M28)</f>
        <v/>
      </c>
    </row>
    <row r="29" ht="15" customHeight="1" s="39">
      <c r="A29" s="43" t="inlineStr">
        <is>
          <t>Costos fijos del mes</t>
        </is>
      </c>
      <c r="B29" s="48">
        <f>Supuestos!$B$75</f>
        <v/>
      </c>
      <c r="C29" s="48">
        <f>Supuestos!$B$75</f>
        <v/>
      </c>
      <c r="D29" s="48">
        <f>Supuestos!$B$75</f>
        <v/>
      </c>
      <c r="E29" s="48">
        <f>Supuestos!$B$75</f>
        <v/>
      </c>
      <c r="F29" s="48">
        <f>Supuestos!$B$75</f>
        <v/>
      </c>
      <c r="G29" s="48">
        <f>Supuestos!$B$75</f>
        <v/>
      </c>
      <c r="H29" s="48">
        <f>Supuestos!$B$75</f>
        <v/>
      </c>
      <c r="I29" s="48">
        <f>Supuestos!$B$75</f>
        <v/>
      </c>
      <c r="J29" s="48">
        <f>Supuestos!$B$75</f>
        <v/>
      </c>
      <c r="K29" s="48">
        <f>Supuestos!$B$75</f>
        <v/>
      </c>
      <c r="L29" s="48">
        <f>Supuestos!$B$75</f>
        <v/>
      </c>
      <c r="M29" s="48">
        <f>Supuestos!$B$75</f>
        <v/>
      </c>
      <c r="N29" s="55">
        <f>SUM(B29:M29)</f>
        <v/>
      </c>
    </row>
    <row r="30" ht="15" customHeight="1" s="39">
      <c r="A30" s="49" t="inlineStr">
        <is>
          <t>Resultado operativo</t>
        </is>
      </c>
      <c r="B30" s="50">
        <f>B24-SUM(B25:B29)</f>
        <v/>
      </c>
      <c r="C30" s="50">
        <f>C24-SUM(C25:C29)</f>
        <v/>
      </c>
      <c r="D30" s="50">
        <f>D24-SUM(D25:D29)</f>
        <v/>
      </c>
      <c r="E30" s="50">
        <f>E24-SUM(E25:E29)</f>
        <v/>
      </c>
      <c r="F30" s="50">
        <f>F24-SUM(F25:F29)</f>
        <v/>
      </c>
      <c r="G30" s="50">
        <f>G24-SUM(G25:G29)</f>
        <v/>
      </c>
      <c r="H30" s="50">
        <f>H24-SUM(H25:H29)</f>
        <v/>
      </c>
      <c r="I30" s="50">
        <f>I24-SUM(I25:I29)</f>
        <v/>
      </c>
      <c r="J30" s="50">
        <f>J24-SUM(J25:J29)</f>
        <v/>
      </c>
      <c r="K30" s="50">
        <f>K24-SUM(K25:K29)</f>
        <v/>
      </c>
      <c r="L30" s="50">
        <f>L24-SUM(L25:L29)</f>
        <v/>
      </c>
      <c r="M30" s="50">
        <f>M24-SUM(M25:M29)</f>
        <v/>
      </c>
      <c r="N30" s="50">
        <f>SUM(B30:M30)</f>
        <v/>
      </c>
    </row>
    <row r="31" ht="15" customHeight="1" s="39">
      <c r="A31" s="43" t="inlineStr">
        <is>
          <t>Resultado acumulado desde enero de 2027</t>
        </is>
      </c>
      <c r="B31" s="55">
        <f>Mensual!N38+B30</f>
        <v/>
      </c>
      <c r="C31" s="55">
        <f>B31+C30</f>
        <v/>
      </c>
      <c r="D31" s="55">
        <f>C31+D30</f>
        <v/>
      </c>
      <c r="E31" s="55">
        <f>D31+E30</f>
        <v/>
      </c>
      <c r="F31" s="55">
        <f>E31+F30</f>
        <v/>
      </c>
      <c r="G31" s="55">
        <f>F31+G30</f>
        <v/>
      </c>
      <c r="H31" s="55">
        <f>G31+H30</f>
        <v/>
      </c>
      <c r="I31" s="55">
        <f>H31+I30</f>
        <v/>
      </c>
      <c r="J31" s="55">
        <f>I31+J30</f>
        <v/>
      </c>
      <c r="K31" s="55">
        <f>J31+K30</f>
        <v/>
      </c>
      <c r="L31" s="55">
        <f>K31+L30</f>
        <v/>
      </c>
      <c r="M31" s="55">
        <f>L31+M30</f>
        <v/>
      </c>
    </row>
    <row r="32" ht="15" customHeight="1" s="39">
      <c r="A32" s="43" t="inlineStr">
        <is>
          <t>Cuota del préstamo</t>
        </is>
      </c>
      <c r="B32" s="48">
        <f>IF(13&lt;=Inversion!$B$49,Inversion!$B$50,0)</f>
        <v/>
      </c>
      <c r="C32" s="48">
        <f>IF(14&lt;=Inversion!$B$49,Inversion!$B$50,0)</f>
        <v/>
      </c>
      <c r="D32" s="48">
        <f>IF(15&lt;=Inversion!$B$49,Inversion!$B$50,0)</f>
        <v/>
      </c>
      <c r="E32" s="48">
        <f>IF(16&lt;=Inversion!$B$49,Inversion!$B$50,0)</f>
        <v/>
      </c>
      <c r="F32" s="48">
        <f>IF(17&lt;=Inversion!$B$49,Inversion!$B$50,0)</f>
        <v/>
      </c>
      <c r="G32" s="48">
        <f>IF(18&lt;=Inversion!$B$49,Inversion!$B$50,0)</f>
        <v/>
      </c>
      <c r="H32" s="48">
        <f>IF(19&lt;=Inversion!$B$49,Inversion!$B$50,0)</f>
        <v/>
      </c>
      <c r="I32" s="48">
        <f>IF(20&lt;=Inversion!$B$49,Inversion!$B$50,0)</f>
        <v/>
      </c>
      <c r="J32" s="48">
        <f>IF(21&lt;=Inversion!$B$49,Inversion!$B$50,0)</f>
        <v/>
      </c>
      <c r="K32" s="48">
        <f>IF(22&lt;=Inversion!$B$49,Inversion!$B$50,0)</f>
        <v/>
      </c>
      <c r="L32" s="48">
        <f>IF(23&lt;=Inversion!$B$49,Inversion!$B$50,0)</f>
        <v/>
      </c>
      <c r="M32" s="48">
        <f>IF(24&lt;=Inversion!$B$49,Inversion!$B$50,0)</f>
        <v/>
      </c>
      <c r="N32" s="55">
        <f>SUM(B32:M32)</f>
        <v/>
      </c>
    </row>
    <row r="33" ht="15" customHeight="1" s="39">
      <c r="A33" s="43" t="inlineStr">
        <is>
          <t>Depreciación (no sale de caja)</t>
        </is>
      </c>
      <c r="B33" s="48">
        <f>Supuestos!$B$74</f>
        <v/>
      </c>
      <c r="C33" s="48">
        <f>Supuestos!$B$74</f>
        <v/>
      </c>
      <c r="D33" s="48">
        <f>Supuestos!$B$74</f>
        <v/>
      </c>
      <c r="E33" s="48">
        <f>Supuestos!$B$74</f>
        <v/>
      </c>
      <c r="F33" s="48">
        <f>Supuestos!$B$74</f>
        <v/>
      </c>
      <c r="G33" s="48">
        <f>Supuestos!$B$74</f>
        <v/>
      </c>
      <c r="H33" s="48">
        <f>Supuestos!$B$74</f>
        <v/>
      </c>
      <c r="I33" s="48">
        <f>Supuestos!$B$74</f>
        <v/>
      </c>
      <c r="J33" s="48">
        <f>Supuestos!$B$74</f>
        <v/>
      </c>
      <c r="K33" s="48">
        <f>Supuestos!$B$74</f>
        <v/>
      </c>
      <c r="L33" s="48">
        <f>Supuestos!$B$74</f>
        <v/>
      </c>
      <c r="M33" s="48">
        <f>Supuestos!$B$74</f>
        <v/>
      </c>
      <c r="N33" s="55">
        <f>SUM(B33:M33)</f>
        <v/>
      </c>
    </row>
    <row r="34" ht="15" customHeight="1" s="39">
      <c r="A34" s="49" t="inlineStr">
        <is>
          <t>Caja al cierre del mes</t>
        </is>
      </c>
      <c r="B34" s="50">
        <f>Mensual!M44+B30+B33-B32</f>
        <v/>
      </c>
      <c r="C34" s="50">
        <f>B34+C30+C33-C32</f>
        <v/>
      </c>
      <c r="D34" s="50">
        <f>C34+D30+D33-D32</f>
        <v/>
      </c>
      <c r="E34" s="50">
        <f>D34+E30+E33-E32</f>
        <v/>
      </c>
      <c r="F34" s="50">
        <f>E34+F30+F33-F32</f>
        <v/>
      </c>
      <c r="G34" s="50">
        <f>F34+G30+G33-G32</f>
        <v/>
      </c>
      <c r="H34" s="50">
        <f>G34+H30+H33-H32</f>
        <v/>
      </c>
      <c r="I34" s="50">
        <f>H34+I30+I33-I32</f>
        <v/>
      </c>
      <c r="J34" s="50">
        <f>I34+J30+J33-J32</f>
        <v/>
      </c>
      <c r="K34" s="50">
        <f>J34+K30+K33-K32</f>
        <v/>
      </c>
      <c r="L34" s="50">
        <f>K34+L30+L33-L32</f>
        <v/>
      </c>
      <c r="M34" s="50">
        <f>L34+M30+M33-M32</f>
        <v/>
      </c>
    </row>
    <row r="36" ht="15" customHeight="1" s="39">
      <c r="A36" s="49" t="inlineStr">
        <is>
          <t>De resultado operativo a utilidad neta (año 2)</t>
        </is>
      </c>
    </row>
    <row r="37" ht="15" customHeight="1" s="39">
      <c r="A37" s="43" t="inlineStr">
        <is>
          <t>Resultado operativo</t>
        </is>
      </c>
      <c r="B37" s="55">
        <f>N30</f>
        <v/>
      </c>
    </row>
    <row r="38" ht="15" customHeight="1" s="39">
      <c r="A38" s="43" t="inlineStr">
        <is>
          <t>Más: pagos a cuenta de renta ya restados en el costo de canal (1 % de las ventas sin IGV)</t>
        </is>
      </c>
      <c r="B38" s="48">
        <f>Supuestos!B28*N23</f>
        <v/>
      </c>
    </row>
    <row r="39" ht="15" customHeight="1" s="39">
      <c r="A39" s="43" t="inlineStr">
        <is>
          <t>Menos: intereses del préstamo en el año 2</t>
        </is>
      </c>
      <c r="B39" s="48">
        <f>-CUMIPMT((1+Inversion!B48)^(1/12)-1,Inversion!B49,Inversion!B47,13,24,0)</f>
        <v/>
      </c>
    </row>
    <row r="40" ht="15" customHeight="1" s="39">
      <c r="A40" s="43" t="inlineStr">
        <is>
          <t>Utilidad antes de impuestos</t>
        </is>
      </c>
      <c r="B40" s="55">
        <f>B37+B38-B39</f>
        <v/>
      </c>
    </row>
    <row r="41" ht="15" customHeight="1" s="39">
      <c r="A41" s="43" t="inlineStr">
        <is>
          <t>Impuesto a la renta del Régimen MYPE Tributario (10 % hasta 15 UIT de utilidad)</t>
        </is>
      </c>
      <c r="B41" s="55">
        <f>MAX(0,0.1*B40)</f>
        <v/>
      </c>
    </row>
    <row r="42" ht="15" customHeight="1" s="39">
      <c r="A42" s="49" t="inlineStr">
        <is>
          <t>Utilidad neta del año 2</t>
        </is>
      </c>
      <c r="B42" s="50">
        <f>B40-B41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2026-10-10T18:41:20Z</dcterms:created>
  <dcterms:modified xmlns:dcterms="http://purl.org/dc/terms/" xmlns:xsi="http://www.w3.org/2001/XMLSchema-instance" xsi:type="dcterms:W3CDTF">2026-10-27T01:40:29Z</dcterms:modified>
  <cp:revision>0</cp:revision>
</cp:coreProperties>
</file>